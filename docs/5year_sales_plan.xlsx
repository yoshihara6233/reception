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条件" sheetId="1" state="visible" r:id="rId3"/>
    <sheet name="５か年販売計画" sheetId="2" state="visible" r:id="rId4"/>
    <sheet name="四半期詳細" sheetId="3" state="visible" r:id="rId5"/>
    <sheet name="グラ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<sst xmlns="http://schemas.openxmlformats.org/spreadsheetml/2006/main" count="140" uniqueCount="129">
  <si>
    <t xml:space="preserve">レコーダ統合監視システム　５か年販売計画　前提条件</t>
  </si>
  <si>
    <t xml:space="preserve">■ 製品概要</t>
  </si>
  <si>
    <t xml:space="preserve">製品名</t>
  </si>
  <si>
    <t xml:space="preserve">レコーダ統合監視システム（インタレコ）</t>
  </si>
  <si>
    <t xml:space="preserve">対象市場</t>
  </si>
  <si>
    <t xml:space="preserve">家電量販店・倉庫業・衣料品・警備会社・ビル管理</t>
  </si>
  <si>
    <t xml:space="preserve">事業開始時期</t>
  </si>
  <si>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游ゴシック体"/>
        <family val="2"/>
      </rPr>
      <t xml:space="preserve">年</t>
    </r>
    <r>
      <rPr>
        <sz val="10"/>
        <color rgb="FF0000FF"/>
        <rFont val="Arial"/>
        <family val="0"/>
        <charset val="1"/>
      </rPr>
      <t xml:space="preserve">7</t>
    </r>
    <r>
      <rPr>
        <sz val="10"/>
        <color rgb="FF0000FF"/>
        <rFont val="游ゴシック体"/>
        <family val="2"/>
      </rPr>
      <t xml:space="preserve">月（パイロット </t>
    </r>
    <r>
      <rPr>
        <sz val="10"/>
        <color rgb="FF0000FF"/>
        <rFont val="Arial"/>
        <family val="0"/>
        <charset val="1"/>
      </rPr>
      <t xml:space="preserve">Phase A</t>
    </r>
    <r>
      <rPr>
        <sz val="10"/>
        <color rgb="FF0000FF"/>
        <rFont val="游ゴシック体"/>
        <family val="2"/>
      </rPr>
      <t xml:space="preserve">）</t>
    </r>
  </si>
  <si>
    <t xml:space="preserve">■ 料金体系</t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</si>
  <si>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游ゴシック体"/>
        <family val="2"/>
      </rPr>
      <t xml:space="preserve">店舗あたり月額（円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游ゴシック体"/>
        <family val="2"/>
      </rPr>
      <t xml:space="preserve">月・税抜）</t>
    </r>
  </si>
  <si>
    <r>
      <rPr>
        <i val="true"/>
        <sz val="9"/>
        <color rgb="FF666666"/>
        <rFont val="Arial"/>
        <family val="0"/>
        <charset val="1"/>
      </rPr>
      <t xml:space="preserve">← Key Assumption</t>
    </r>
    <r>
      <rPr>
        <i val="true"/>
        <sz val="9"/>
        <color rgb="FF666666"/>
        <rFont val="游ゴシック体"/>
        <family val="2"/>
      </rPr>
      <t xml:space="preserve">（変更するとすべての計算に反映）</t>
    </r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</si>
  <si>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游ゴシック体"/>
        <family val="2"/>
      </rPr>
      <t xml:space="preserve">店舗あたり年額換算（円</t>
    </r>
    <r>
      <rPr>
        <b val="true"/>
        <sz val="10"/>
        <color rgb="FF000000"/>
        <rFont val="Arial"/>
        <family val="0"/>
        <charset val="1"/>
      </rPr>
      <t xml:space="preserve">/</t>
    </r>
    <r>
      <rPr>
        <b val="true"/>
        <sz val="10"/>
        <color rgb="FF000000"/>
        <rFont val="游ゴシック体"/>
        <family val="2"/>
      </rPr>
      <t xml:space="preserve">年・税抜）</t>
    </r>
  </si>
  <si>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游ゴシック体"/>
        <family val="2"/>
      </rPr>
      <t xml:space="preserve">年後 目標店舗数</t>
    </r>
  </si>
  <si>
    <t xml:space="preserve">■ 年度末店舗数目標（フェーズ別）</t>
  </si>
  <si>
    <t xml:space="preserve">年度</t>
  </si>
  <si>
    <t xml:space="preserve">期末店舗数（店）</t>
  </si>
  <si>
    <t xml:space="preserve">前年比
増加数</t>
  </si>
  <si>
    <t xml:space="preserve">成長率</t>
  </si>
  <si>
    <t xml:space="preserve">展開フェーズ</t>
  </si>
  <si>
    <t xml:space="preserve">備考</t>
  </si>
  <si>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游ゴシック体"/>
        <family val="2"/>
      </rPr>
      <t xml:space="preserve">年度</t>
    </r>
  </si>
  <si>
    <t xml:space="preserve">—</t>
  </si>
  <si>
    <r>
      <rPr>
        <sz val="10"/>
        <rFont val="Arial"/>
        <family val="0"/>
        <charset val="1"/>
      </rPr>
      <t xml:space="preserve">Phase A  </t>
    </r>
    <r>
      <rPr>
        <sz val="10"/>
        <rFont val="游ゴシック体"/>
        <family val="2"/>
      </rPr>
      <t xml:space="preserve">パイロット（</t>
    </r>
    <r>
      <rPr>
        <sz val="10"/>
        <rFont val="Arial"/>
        <family val="0"/>
        <charset val="1"/>
      </rPr>
      <t xml:space="preserve">3</t>
    </r>
    <r>
      <rPr>
        <sz val="10"/>
        <rFont val="游ゴシック体"/>
        <family val="2"/>
      </rPr>
      <t xml:space="preserve">店舗）</t>
    </r>
  </si>
  <si>
    <r>
      <rPr>
        <sz val="9"/>
        <color rgb="FF666666"/>
        <rFont val="Arial"/>
        <family val="0"/>
        <charset val="1"/>
      </rPr>
      <t xml:space="preserve">2026</t>
    </r>
    <r>
      <rPr>
        <sz val="9"/>
        <color rgb="FF666666"/>
        <rFont val="游ゴシック体"/>
        <family val="2"/>
      </rPr>
      <t xml:space="preserve">年</t>
    </r>
    <r>
      <rPr>
        <sz val="9"/>
        <color rgb="FF666666"/>
        <rFont val="Arial"/>
        <family val="0"/>
        <charset val="1"/>
      </rPr>
      <t xml:space="preserve">7</t>
    </r>
    <r>
      <rPr>
        <sz val="9"/>
        <color rgb="FF666666"/>
        <rFont val="游ゴシック体"/>
        <family val="2"/>
      </rPr>
      <t xml:space="preserve">月開発スタート〜</t>
    </r>
    <r>
      <rPr>
        <sz val="9"/>
        <color rgb="FF666666"/>
        <rFont val="Arial"/>
        <family val="0"/>
        <charset val="1"/>
      </rPr>
      <t xml:space="preserve">12</t>
    </r>
    <r>
      <rPr>
        <sz val="9"/>
        <color rgb="FF666666"/>
        <rFont val="游ゴシック体"/>
        <family val="2"/>
      </rPr>
      <t xml:space="preserve">月末時点</t>
    </r>
  </si>
  <si>
    <r>
      <rPr>
        <b val="true"/>
        <sz val="10"/>
        <rFont val="Arial"/>
        <family val="0"/>
        <charset val="1"/>
      </rPr>
      <t xml:space="preserve">2027</t>
    </r>
    <r>
      <rPr>
        <b val="true"/>
        <sz val="10"/>
        <rFont val="游ゴシック体"/>
        <family val="2"/>
      </rPr>
      <t xml:space="preserve">年度</t>
    </r>
  </si>
  <si>
    <r>
      <rPr>
        <sz val="10"/>
        <rFont val="Arial"/>
        <family val="0"/>
        <charset val="1"/>
      </rPr>
      <t xml:space="preserve">Phase B  </t>
    </r>
    <r>
      <rPr>
        <sz val="10"/>
        <rFont val="游ゴシック体"/>
        <family val="2"/>
      </rPr>
      <t xml:space="preserve">本格導入（</t>
    </r>
    <r>
      <rPr>
        <sz val="10"/>
        <rFont val="Arial"/>
        <family val="0"/>
        <charset val="1"/>
      </rPr>
      <t xml:space="preserve">100</t>
    </r>
    <r>
      <rPr>
        <sz val="10"/>
        <rFont val="游ゴシック体"/>
        <family val="2"/>
      </rPr>
      <t xml:space="preserve">店舗）</t>
    </r>
  </si>
  <si>
    <r>
      <rPr>
        <sz val="9"/>
        <color rgb="FF666666"/>
        <rFont val="Arial"/>
        <family val="0"/>
        <charset val="1"/>
      </rPr>
      <t xml:space="preserve">100</t>
    </r>
    <r>
      <rPr>
        <sz val="9"/>
        <color rgb="FF666666"/>
        <rFont val="游ゴシック体"/>
        <family val="2"/>
      </rPr>
      <t xml:space="preserve">店舗展開</t>
    </r>
  </si>
  <si>
    <r>
      <rPr>
        <b val="true"/>
        <sz val="10"/>
        <rFont val="Arial"/>
        <family val="0"/>
        <charset val="1"/>
      </rPr>
      <t xml:space="preserve">2028</t>
    </r>
    <r>
      <rPr>
        <b val="true"/>
        <sz val="10"/>
        <rFont val="游ゴシック体"/>
        <family val="2"/>
      </rPr>
      <t xml:space="preserve">年度</t>
    </r>
  </si>
  <si>
    <r>
      <rPr>
        <sz val="10"/>
        <rFont val="Arial"/>
        <family val="0"/>
        <charset val="1"/>
      </rPr>
      <t xml:space="preserve">Phase C  </t>
    </r>
    <r>
      <rPr>
        <sz val="10"/>
        <rFont val="游ゴシック体"/>
        <family val="2"/>
      </rPr>
      <t xml:space="preserve">スケールアップ</t>
    </r>
  </si>
  <si>
    <r>
      <rPr>
        <sz val="9"/>
        <color rgb="FF666666"/>
        <rFont val="Arial"/>
        <family val="0"/>
        <charset val="1"/>
      </rPr>
      <t xml:space="preserve">1,000</t>
    </r>
    <r>
      <rPr>
        <sz val="9"/>
        <color rgb="FF666666"/>
        <rFont val="游ゴシック体"/>
        <family val="2"/>
      </rPr>
      <t xml:space="preserve">店舗</t>
    </r>
  </si>
  <si>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游ゴシック体"/>
        <family val="2"/>
      </rPr>
      <t xml:space="preserve">年度</t>
    </r>
  </si>
  <si>
    <r>
      <rPr>
        <sz val="10"/>
        <rFont val="Arial"/>
        <family val="0"/>
        <charset val="1"/>
      </rPr>
      <t xml:space="preserve">Phase D  </t>
    </r>
    <r>
      <rPr>
        <sz val="10"/>
        <rFont val="游ゴシック体"/>
        <family val="2"/>
      </rPr>
      <t xml:space="preserve">拡大展開（前半）</t>
    </r>
  </si>
  <si>
    <r>
      <rPr>
        <sz val="9"/>
        <color rgb="FF666666"/>
        <rFont val="Arial"/>
        <family val="0"/>
        <charset val="1"/>
      </rPr>
      <t xml:space="preserve">3,000</t>
    </r>
    <r>
      <rPr>
        <sz val="9"/>
        <color rgb="FF666666"/>
        <rFont val="游ゴシック体"/>
        <family val="2"/>
      </rPr>
      <t xml:space="preserve">店舗</t>
    </r>
  </si>
  <si>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游ゴシック体"/>
        <family val="2"/>
      </rPr>
      <t xml:space="preserve">年度</t>
    </r>
  </si>
  <si>
    <r>
      <rPr>
        <sz val="10"/>
        <rFont val="Arial"/>
        <family val="0"/>
        <charset val="1"/>
      </rPr>
      <t xml:space="preserve">Phase D  </t>
    </r>
    <r>
      <rPr>
        <sz val="10"/>
        <rFont val="游ゴシック体"/>
        <family val="2"/>
      </rPr>
      <t xml:space="preserve">全国展開（完了）</t>
    </r>
  </si>
  <si>
    <r>
      <rPr>
        <sz val="9"/>
        <color rgb="FF666666"/>
        <rFont val="Arial"/>
        <family val="0"/>
        <charset val="1"/>
      </rPr>
      <t xml:space="preserve">10,000</t>
    </r>
    <r>
      <rPr>
        <sz val="9"/>
        <color rgb="FF666666"/>
        <rFont val="游ゴシック体"/>
        <family val="2"/>
      </rPr>
      <t xml:space="preserve">店舗　目標達成</t>
    </r>
  </si>
  <si>
    <t xml:space="preserve">■ 色凡例（カラーコーディング）</t>
  </si>
  <si>
    <t xml:space="preserve">青字・黄背景</t>
  </si>
  <si>
    <r>
      <rPr>
        <sz val="10"/>
        <color rgb="FF000000"/>
        <rFont val="游ゴシック体"/>
        <family val="2"/>
      </rPr>
      <t xml:space="preserve">入力値（</t>
    </r>
    <r>
      <rPr>
        <sz val="10"/>
        <color rgb="FF000000"/>
        <rFont val="Arial"/>
        <family val="0"/>
        <charset val="1"/>
      </rPr>
      <t xml:space="preserve">Hardcoded Input</t>
    </r>
    <r>
      <rPr>
        <sz val="10"/>
        <color rgb="FF000000"/>
        <rFont val="游ゴシック体"/>
        <family val="2"/>
      </rPr>
      <t xml:space="preserve">）　— ここを変更するとモデルが更新されます</t>
    </r>
  </si>
  <si>
    <t xml:space="preserve">黒字・白背景</t>
  </si>
  <si>
    <r>
      <rPr>
        <sz val="10"/>
        <color rgb="FF000000"/>
        <rFont val="游ゴシック体"/>
        <family val="2"/>
      </rPr>
      <t xml:space="preserve">計算式（</t>
    </r>
    <r>
      <rPr>
        <sz val="10"/>
        <color rgb="FF000000"/>
        <rFont val="Arial"/>
        <family val="0"/>
        <charset val="1"/>
      </rPr>
      <t xml:space="preserve">Formula</t>
    </r>
    <r>
      <rPr>
        <sz val="10"/>
        <color rgb="FF000000"/>
        <rFont val="游ゴシック体"/>
        <family val="2"/>
      </rPr>
      <t xml:space="preserve">）　— 変更不要</t>
    </r>
  </si>
  <si>
    <t xml:space="preserve">黒字・灰背景</t>
  </si>
  <si>
    <t xml:space="preserve">ラベル・見出し</t>
  </si>
  <si>
    <t xml:space="preserve">レコーダ統合監視システム　５か年販売計画（年次サマリー）</t>
  </si>
  <si>
    <r>
      <rPr>
        <i val="true"/>
        <sz val="9"/>
        <color rgb="FF666666"/>
        <rFont val="Arial"/>
        <family val="0"/>
        <charset val="1"/>
      </rPr>
      <t xml:space="preserve">※ 1</t>
    </r>
    <r>
      <rPr>
        <i val="true"/>
        <sz val="9"/>
        <color rgb="FF666666"/>
        <rFont val="游ゴシック体"/>
        <family val="2"/>
      </rPr>
      <t xml:space="preserve">店舗あたり月額 </t>
    </r>
    <r>
      <rPr>
        <i val="true"/>
        <sz val="9"/>
        <color rgb="FF666666"/>
        <rFont val="Arial"/>
        <family val="0"/>
        <charset val="1"/>
      </rPr>
      <t xml:space="preserve">¥3,200</t>
    </r>
    <r>
      <rPr>
        <i val="true"/>
        <sz val="9"/>
        <color rgb="FF666666"/>
        <rFont val="游ゴシック体"/>
        <family val="2"/>
      </rPr>
      <t xml:space="preserve">（前提条件シート </t>
    </r>
    <r>
      <rPr>
        <i val="true"/>
        <sz val="9"/>
        <color rgb="FF666666"/>
        <rFont val="Arial"/>
        <family val="0"/>
        <charset val="1"/>
      </rPr>
      <t xml:space="preserve">B9 </t>
    </r>
    <r>
      <rPr>
        <i val="true"/>
        <sz val="9"/>
        <color rgb="FF666666"/>
        <rFont val="游ゴシック体"/>
        <family val="2"/>
      </rPr>
      <t xml:space="preserve">参照）　　単位：千円（注記のあるものを除く）</t>
    </r>
  </si>
  <si>
    <t xml:space="preserve">項　目</t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</si>
  <si>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游ゴシック体"/>
        <family val="2"/>
      </rPr>
      <t xml:space="preserve">年度
（下半期）</t>
    </r>
  </si>
  <si>
    <r>
      <rPr>
        <b val="true"/>
        <sz val="10"/>
        <color rgb="FFFFFFFF"/>
        <rFont val="Arial"/>
        <family val="0"/>
        <charset val="1"/>
      </rPr>
      <t xml:space="preserve">2027</t>
    </r>
    <r>
      <rPr>
        <b val="true"/>
        <sz val="10"/>
        <color rgb="FFFFFFFF"/>
        <rFont val="游ゴシック体"/>
        <family val="2"/>
      </rPr>
      <t xml:space="preserve">年度</t>
    </r>
  </si>
  <si>
    <r>
      <rPr>
        <b val="true"/>
        <sz val="10"/>
        <color rgb="FFFFFFFF"/>
        <rFont val="Arial"/>
        <family val="0"/>
        <charset val="1"/>
      </rPr>
      <t xml:space="preserve">2028</t>
    </r>
    <r>
      <rPr>
        <b val="true"/>
        <sz val="10"/>
        <color rgb="FFFFFFFF"/>
        <rFont val="游ゴシック体"/>
        <family val="2"/>
      </rPr>
      <t xml:space="preserve">年度</t>
    </r>
  </si>
  <si>
    <r>
      <rPr>
        <b val="true"/>
        <sz val="10"/>
        <color rgb="FFFFFFFF"/>
        <rFont val="Arial"/>
        <family val="0"/>
        <charset val="1"/>
      </rPr>
      <t xml:space="preserve">2029</t>
    </r>
    <r>
      <rPr>
        <b val="true"/>
        <sz val="10"/>
        <color rgb="FFFFFFFF"/>
        <rFont val="游ゴシック体"/>
        <family val="2"/>
      </rPr>
      <t xml:space="preserve">年度</t>
    </r>
  </si>
  <si>
    <r>
      <rPr>
        <b val="true"/>
        <sz val="10"/>
        <color rgb="FFFFFFFF"/>
        <rFont val="Arial"/>
        <family val="0"/>
        <charset val="1"/>
      </rPr>
      <t xml:space="preserve">2030</t>
    </r>
    <r>
      <rPr>
        <b val="true"/>
        <sz val="10"/>
        <color rgb="FFFFFFFF"/>
        <rFont val="游ゴシック体"/>
        <family val="2"/>
      </rPr>
      <t xml:space="preserve">年度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</si>
  <si>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游ゴシック体"/>
        <family val="2"/>
      </rPr>
      <t xml:space="preserve">か年
合計</t>
    </r>
  </si>
  <si>
    <t xml:space="preserve">■ 店舗数</t>
  </si>
  <si>
    <t xml:space="preserve">期初店舗数（店）</t>
  </si>
  <si>
    <t xml:space="preserve">期末店舗数（店）　※目標</t>
  </si>
  <si>
    <t xml:space="preserve">当期純増店舗数（店）</t>
  </si>
  <si>
    <t xml:space="preserve">期中平均稼働店舗数（店）</t>
  </si>
  <si>
    <t xml:space="preserve">■ 売上高（千円）</t>
  </si>
  <si>
    <t xml:space="preserve">月次売上（期末月・千円）</t>
  </si>
  <si>
    <r>
      <rPr>
        <i val="true"/>
        <sz val="9"/>
        <color rgb="FF666666"/>
        <rFont val="游ゴシック体"/>
        <family val="2"/>
      </rPr>
      <t xml:space="preserve">期末店舗数 </t>
    </r>
    <r>
      <rPr>
        <i val="true"/>
        <sz val="9"/>
        <color rgb="FF666666"/>
        <rFont val="Arial"/>
        <family val="0"/>
        <charset val="1"/>
      </rPr>
      <t xml:space="preserve">× ¥3,200</t>
    </r>
  </si>
  <si>
    <t xml:space="preserve">年間売上高（千円）</t>
  </si>
  <si>
    <r>
      <rPr>
        <i val="true"/>
        <sz val="9"/>
        <color rgb="FF666666"/>
        <rFont val="Arial"/>
        <family val="0"/>
        <charset val="1"/>
      </rPr>
      <t xml:space="preserve">2026</t>
    </r>
    <r>
      <rPr>
        <i val="true"/>
        <sz val="9"/>
        <color rgb="FF666666"/>
        <rFont val="游ゴシック体"/>
        <family val="2"/>
      </rPr>
      <t xml:space="preserve">年度は下半期</t>
    </r>
    <r>
      <rPr>
        <i val="true"/>
        <sz val="9"/>
        <color rgb="FF666666"/>
        <rFont val="Arial"/>
        <family val="0"/>
        <charset val="1"/>
      </rPr>
      <t xml:space="preserve">6</t>
    </r>
    <r>
      <rPr>
        <i val="true"/>
        <sz val="9"/>
        <color rgb="FF666666"/>
        <rFont val="游ゴシック体"/>
        <family val="2"/>
      </rPr>
      <t xml:space="preserve">か月</t>
    </r>
  </si>
  <si>
    <t xml:space="preserve">年間売上高（百万円）</t>
  </si>
  <si>
    <r>
      <rPr>
        <i val="true"/>
        <sz val="9"/>
        <color rgb="FF666666"/>
        <rFont val="游ゴシック体"/>
        <family val="2"/>
      </rPr>
      <t xml:space="preserve">千円</t>
    </r>
    <r>
      <rPr>
        <i val="true"/>
        <sz val="9"/>
        <color rgb="FF666666"/>
        <rFont val="Arial"/>
        <family val="0"/>
        <charset val="1"/>
      </rPr>
      <t xml:space="preserve">÷1,000</t>
    </r>
  </si>
  <si>
    <t xml:space="preserve">前年末比 月次売上成長率</t>
  </si>
  <si>
    <t xml:space="preserve">月次売上の前年比</t>
  </si>
  <si>
    <t xml:space="preserve">累計売上高（千円）</t>
  </si>
  <si>
    <t xml:space="preserve">各年度の年間売上の累計</t>
  </si>
  <si>
    <r>
      <rPr>
        <b val="true"/>
        <sz val="11"/>
        <color rgb="FFFFFFFF"/>
        <rFont val="游ゴシック体"/>
        <family val="2"/>
      </rPr>
      <t xml:space="preserve">■ 売上</t>
    </r>
    <r>
      <rPr>
        <b val="true"/>
        <sz val="11"/>
        <color rgb="FFFFFFFF"/>
        <rFont val="Arial"/>
        <family val="0"/>
        <charset val="1"/>
      </rPr>
      <t xml:space="preserve">KPI </t>
    </r>
    <r>
      <rPr>
        <b val="true"/>
        <sz val="11"/>
        <color rgb="FFFFFFFF"/>
        <rFont val="游ゴシック体"/>
        <family val="2"/>
      </rPr>
      <t xml:space="preserve">サマリー（参考）</t>
    </r>
  </si>
  <si>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游ゴシック体"/>
        <family val="2"/>
      </rPr>
      <t xml:space="preserve">年後 月次</t>
    </r>
    <r>
      <rPr>
        <b val="true"/>
        <sz val="10"/>
        <color rgb="FF000000"/>
        <rFont val="Arial"/>
        <family val="0"/>
        <charset val="1"/>
      </rPr>
      <t xml:space="preserve">ARR</t>
    </r>
    <r>
      <rPr>
        <b val="true"/>
        <sz val="10"/>
        <color rgb="FF000000"/>
        <rFont val="游ゴシック体"/>
        <family val="2"/>
      </rPr>
      <t xml:space="preserve">（千円）</t>
    </r>
  </si>
  <si>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游ゴシック体"/>
        <family val="2"/>
      </rPr>
      <t xml:space="preserve">年後 年間</t>
    </r>
    <r>
      <rPr>
        <b val="true"/>
        <sz val="10"/>
        <color rgb="FF000000"/>
        <rFont val="Arial"/>
        <family val="0"/>
        <charset val="1"/>
      </rPr>
      <t xml:space="preserve">ARR</t>
    </r>
    <r>
      <rPr>
        <b val="true"/>
        <sz val="10"/>
        <color rgb="FF000000"/>
        <rFont val="游ゴシック体"/>
        <family val="2"/>
      </rPr>
      <t xml:space="preserve">（百万円）</t>
    </r>
  </si>
  <si>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游ゴシック体"/>
        <family val="2"/>
      </rPr>
      <t xml:space="preserve">年間 累計売上合計（千円）</t>
    </r>
  </si>
  <si>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游ゴシック体"/>
        <family val="2"/>
      </rPr>
      <t xml:space="preserve">年間 累計売上合計（百万円）</t>
    </r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</si>
  <si>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游ゴシック体"/>
        <family val="2"/>
      </rPr>
      <t xml:space="preserve">店舗あたり月額（円）</t>
    </r>
  </si>
  <si>
    <r>
      <rPr>
        <b val="true"/>
        <sz val="10"/>
        <color rgb="FF000000"/>
        <rFont val="Arial"/>
        <family val="0"/>
        <charset val="1"/>
      </rPr>
      <t xml:space="preserve">2030</t>
    </r>
    <r>
      <rPr>
        <b val="true"/>
        <sz val="10"/>
        <color rgb="FF000000"/>
        <rFont val="游ゴシック体"/>
        <family val="2"/>
      </rPr>
      <t xml:space="preserve">年度末 想定月次売上（千円）</t>
    </r>
  </si>
  <si>
    <t xml:space="preserve">レコーダ統合監視システム　５か年販売計画（四半期詳細）</t>
  </si>
  <si>
    <t xml:space="preserve">※ 期末店舗数は計画値（前提条件シートの年度末目標から各四半期の進捗を推計）</t>
  </si>
  <si>
    <t xml:space="preserve">期間</t>
  </si>
  <si>
    <t xml:space="preserve">期末店舗数
（店）</t>
  </si>
  <si>
    <t xml:space="preserve">期中平均店舗数
（店）</t>
  </si>
  <si>
    <t xml:space="preserve">四半期売上
（千円）</t>
  </si>
  <si>
    <t xml:space="preserve">年間累計売上
（千円）</t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</si>
  <si>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游ゴシック体"/>
        <family val="2"/>
      </rPr>
      <t xml:space="preserve">か年累計売上
（千円）</t>
    </r>
  </si>
  <si>
    <r>
      <rPr>
        <sz val="10"/>
        <rFont val="Arial"/>
        <family val="0"/>
        <charset val="1"/>
      </rPr>
      <t xml:space="preserve">2026 Q3 (7-9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</si>
  <si>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 Q4 (10-12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</si>
  <si>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2027 Q1 (1-3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</si>
  <si>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2027 Q2 (4-6</t>
    </r>
    <r>
      <rPr>
        <b val="true"/>
        <sz val="10"/>
        <color rgb="FF000000"/>
        <rFont val="游ゴシック体"/>
        <family val="2"/>
      </rPr>
      <t xml:space="preserve">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</si>
  <si>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2027 Q3 (7-9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</si>
  <si>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2027 Q4 (10-12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</si>
  <si>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2028 Q1 (1-3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</si>
  <si>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2028 Q2 (4-6</t>
    </r>
    <r>
      <rPr>
        <b val="true"/>
        <sz val="10"/>
        <color rgb="FF000000"/>
        <rFont val="游ゴシック体"/>
        <family val="2"/>
      </rPr>
      <t xml:space="preserve">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</si>
  <si>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2028 Q3 (7-9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</si>
  <si>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2028 Q4 (10-12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</si>
  <si>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2029 Q1 (1-3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</si>
  <si>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2029 Q2 (4-6</t>
    </r>
    <r>
      <rPr>
        <b val="true"/>
        <sz val="10"/>
        <color rgb="FF000000"/>
        <rFont val="游ゴシック体"/>
        <family val="2"/>
      </rPr>
      <t xml:space="preserve">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</si>
  <si>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2029 Q3 (7-9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</si>
  <si>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2029 Q4 (10-12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</si>
  <si>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2030 Q1 (1-3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</si>
  <si>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2030 Q2 (4-6</t>
    </r>
    <r>
      <rPr>
        <b val="true"/>
        <sz val="10"/>
        <color rgb="FF000000"/>
        <rFont val="游ゴシック体"/>
        <family val="2"/>
      </rPr>
      <t xml:space="preserve">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</si>
  <si>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2030 Q3 (7-9</t>
    </r>
    <r>
      <rPr>
        <sz val="10"/>
        <rFont val="游ゴシック体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</si>
  <si>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000000"/>
        <rFont val="Arial"/>
        <family val="0"/>
        <charset val="1"/>
      </rPr>
      <t xml:space="preserve">2030 Q4 (10-12</t>
    </r>
    <r>
      <rPr>
        <b val="true"/>
        <sz val="10"/>
        <color rgb="FF000000"/>
        <rFont val="游ゴシック体"/>
        <family val="2"/>
      </rPr>
      <t xml:space="preserve">月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</si>
  <si>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游ゴシック体"/>
        <family val="2"/>
      </rPr>
      <t xml:space="preserve">か年　合　計</t>
    </r>
  </si>
  <si>
    <t xml:space="preserve">レコーダ統合監視システム　５か年販売計画　グラフ</t>
  </si>
  <si>
    <t xml:space="preserve">年間売上（百万円）</t>
  </si>
  <si>
    <t xml:space="preserve">累計売上（百万円）</t>
  </si>
  <si>
    <t xml:space="preserve">四半期</t>
  </si>
  <si>
    <r>
      <rPr>
        <sz val="10"/>
        <rFont val="Arial"/>
        <family val="0"/>
        <charset val="1"/>
      </rPr>
      <t xml:space="preserve">2026</t>
    </r>
    <r>
      <rPr>
        <sz val="10"/>
        <rFont val="游ゴシック体"/>
        <family val="2"/>
      </rPr>
      <t xml:space="preserve">年度</t>
    </r>
  </si>
  <si>
    <t xml:space="preserve">26Q3</t>
  </si>
  <si>
    <r>
      <rPr>
        <sz val="10"/>
        <rFont val="Arial"/>
        <family val="0"/>
        <charset val="1"/>
      </rPr>
      <t xml:space="preserve">2027</t>
    </r>
    <r>
      <rPr>
        <sz val="10"/>
        <rFont val="游ゴシック体"/>
        <family val="2"/>
      </rPr>
      <t xml:space="preserve">年度</t>
    </r>
  </si>
  <si>
    <t xml:space="preserve">26Q4</t>
  </si>
  <si>
    <r>
      <rPr>
        <sz val="10"/>
        <rFont val="Arial"/>
        <family val="0"/>
        <charset val="1"/>
      </rPr>
      <t xml:space="preserve">2028</t>
    </r>
    <r>
      <rPr>
        <sz val="10"/>
        <rFont val="游ゴシック体"/>
        <family val="2"/>
      </rPr>
      <t xml:space="preserve">年度</t>
    </r>
  </si>
  <si>
    <t xml:space="preserve">27Q1</t>
  </si>
  <si>
    <r>
      <rPr>
        <sz val="10"/>
        <rFont val="Arial"/>
        <family val="0"/>
        <charset val="1"/>
      </rPr>
      <t xml:space="preserve">2029</t>
    </r>
    <r>
      <rPr>
        <sz val="10"/>
        <rFont val="游ゴシック体"/>
        <family val="2"/>
      </rPr>
      <t xml:space="preserve">年度</t>
    </r>
  </si>
  <si>
    <t xml:space="preserve">27Q2</t>
  </si>
  <si>
    <r>
      <rPr>
        <sz val="10"/>
        <rFont val="Arial"/>
        <family val="0"/>
        <charset val="1"/>
      </rPr>
      <t xml:space="preserve">2030</t>
    </r>
    <r>
      <rPr>
        <sz val="10"/>
        <rFont val="游ゴシック体"/>
        <family val="2"/>
      </rPr>
      <t xml:space="preserve">年度</t>
    </r>
  </si>
  <si>
    <t xml:space="preserve">27Q3</t>
  </si>
  <si>
    <t xml:space="preserve">27Q4</t>
  </si>
  <si>
    <t xml:space="preserve">28Q1</t>
  </si>
  <si>
    <t xml:space="preserve">28Q2</t>
  </si>
  <si>
    <t xml:space="preserve">28Q3</t>
  </si>
  <si>
    <t xml:space="preserve">28Q4</t>
  </si>
  <si>
    <t xml:space="preserve">29Q1</t>
  </si>
  <si>
    <t xml:space="preserve">29Q2</t>
  </si>
  <si>
    <t xml:space="preserve">29Q3</t>
  </si>
  <si>
    <t xml:space="preserve">29Q4</t>
  </si>
  <si>
    <t xml:space="preserve">30Q1</t>
  </si>
  <si>
    <t xml:space="preserve">30Q2</t>
  </si>
  <si>
    <t xml:space="preserve">30Q3</t>
  </si>
  <si>
    <t xml:space="preserve">30Q4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</si>
</sst>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¥#,##0"/>
    <numFmt numFmtId="166" formatCode="#,##0"/>
    <numFmt numFmtId="167" formatCode="#,##0;\(#,##0\);\-"/>
    <numFmt numFmtId="168" formatCode="0.0%;\(0.0%\);\-"/>
    <numFmt numFmtId="169" formatCode="#,##0.0;\(#,##0.0\);\-"/>
    <numFmt numFmtId="170" formatCode="#,##0.0"/>
  </numFmts>
  <fonts count="31">
    <font>
      <sz val="11"/>
      <color theme="1"/>
      <name val="游ゴシック体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游ゴシック体"/>
      <family val="2"/>
    </font>
    <font>
      <b val="true"/>
      <sz val="11"/>
      <color rgb="FFFFFFFF"/>
      <name val="游ゴシック体"/>
      <family val="2"/>
    </font>
    <font>
      <b val="true"/>
      <sz val="10"/>
      <color rgb="FF000000"/>
      <name val="游ゴシック体"/>
      <family val="2"/>
    </font>
    <font>
      <sz val="10"/>
      <color rgb="FF0000FF"/>
      <name val="游ゴシック体"/>
      <family val="2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666666"/>
      <name val="游ゴシック体"/>
      <family val="2"/>
    </font>
    <font>
      <sz val="10"/>
      <color rgb="FF000000"/>
      <name val="Arial"/>
      <family val="0"/>
      <charset val="1"/>
    </font>
    <font>
      <b val="true"/>
      <sz val="10"/>
      <color rgb="FFFFFFFF"/>
      <name val="游ゴシック体"/>
      <family val="2"/>
    </font>
    <font>
      <b val="true"/>
      <sz val="10"/>
      <name val="Arial"/>
      <family val="0"/>
      <charset val="1"/>
    </font>
    <font>
      <b val="true"/>
      <sz val="10"/>
      <name val="游ゴシック体"/>
      <family val="2"/>
    </font>
    <font>
      <sz val="10"/>
      <name val="Arial"/>
      <family val="0"/>
      <charset val="1"/>
    </font>
    <font>
      <sz val="10"/>
      <name val="游ゴシック体"/>
      <family val="2"/>
    </font>
    <font>
      <sz val="9"/>
      <color rgb="FF666666"/>
      <name val="Arial"/>
      <family val="0"/>
      <charset val="1"/>
    </font>
    <font>
      <sz val="9"/>
      <color rgb="FF666666"/>
      <name val="游ゴシック体"/>
      <family val="2"/>
    </font>
    <font>
      <b val="true"/>
      <sz val="10"/>
      <color rgb="FF0000FF"/>
      <name val="游ゴシック体"/>
      <family val="2"/>
    </font>
    <font>
      <sz val="10"/>
      <color rgb="FF000000"/>
      <name val="游ゴシック体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1E3A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8"/>
      <color rgb="FF000000"/>
      <name val="游ゴシック体"/>
      <family val="2"/>
    </font>
  </fonts>
  <fills count="11">
    <fill>
      <patternFill patternType="none"/>
    </fill>
    <fill>
      <patternFill patternType="gray125"/>
    </fill>
    <fill>
      <patternFill patternType="solid">
        <fgColor rgb="FF1E3A8A"/>
        <bgColor rgb="FF2C4A7E"/>
      </patternFill>
    </fill>
    <fill>
      <patternFill patternType="solid">
        <fgColor rgb="FF2C4A7E"/>
        <bgColor rgb="FF1E3A8A"/>
      </patternFill>
    </fill>
    <fill>
      <patternFill patternType="solid">
        <fgColor rgb="FFF1F5F9"/>
        <bgColor rgb="FFF7F5F1"/>
      </patternFill>
    </fill>
    <fill>
      <patternFill patternType="solid">
        <fgColor rgb="FFFFFF00"/>
        <bgColor rgb="FFFFFF00"/>
      </patternFill>
    </fill>
    <fill>
      <patternFill patternType="solid">
        <fgColor rgb="FF334155"/>
        <bgColor rgb="FF2C4A7E"/>
      </patternFill>
    </fill>
    <fill>
      <patternFill patternType="solid">
        <fgColor rgb="FFF7F5F1"/>
        <bgColor rgb="FFF1F5F9"/>
      </patternFill>
    </fill>
    <fill>
      <patternFill patternType="solid">
        <fgColor rgb="FFFFFFFF"/>
        <bgColor rgb="FFF7F5F1"/>
      </patternFill>
    </fill>
    <fill>
      <patternFill patternType="solid">
        <fgColor rgb="FFDBEAFE"/>
        <bgColor rgb="FFEFEBE3"/>
      </patternFill>
    </fill>
    <fill>
      <patternFill patternType="solid">
        <fgColor rgb="FFEFEBE3"/>
        <bgColor rgb="FFF7F5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CCCCC"/>
      <rgbColor rgb="FF878787"/>
      <rgbColor rgb="FF9999FF"/>
      <rgbColor rgb="FF993366"/>
      <rgbColor rgb="FFF7F5F1"/>
      <rgbColor rgb="FFDBEAFE"/>
      <rgbColor rgb="FF660066"/>
      <rgbColor rgb="FFFF8080"/>
      <rgbColor rgb="FF0369A1"/>
      <rgbColor rgb="FFD9D9D9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1F5F9"/>
      <rgbColor rgb="FFEFEBE3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66"/>
      <rgbColor rgb="FF969696"/>
      <rgbColor rgb="FF2C4A7E"/>
      <rgbColor rgb="FF339966"/>
      <rgbColor rgb="FF003300"/>
      <rgbColor rgb="FF333300"/>
      <rgbColor rgb="FF993300"/>
      <rgbColor rgb="FF993366"/>
      <rgbColor rgb="FF1E3A8A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年度別 期末店舗数（店）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グラフ!B3</c:f>
              <c:strCache>
                <c:ptCount val="1"/>
                <c:pt idx="0">
                  <c:v>期末店舗数（店）</c:v>
                </c:pt>
              </c:strCache>
            </c:strRef>
          </c:tx>
          <c:spPr>
            <a:solidFill>
              <a:srgbClr val="2C4A7E"/>
            </a:solidFill>
            <a:ln w="12600">
              <a:solidFill>
                <a:srgbClr val="1E3A8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1E3A8A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グラフ!$A$4:$A$8</c:f>
              <c:strCache>
                <c:ptCount val="5"/>
                <c:pt idx="0">
                  <c:v>2026年度</c:v>
                </c:pt>
                <c:pt idx="1">
                  <c:v>2027年度</c:v>
                </c:pt>
                <c:pt idx="2">
                  <c:v>2028年度</c:v>
                </c:pt>
                <c:pt idx="3">
                  <c:v>2029年度</c:v>
                </c:pt>
                <c:pt idx="4">
                  <c:v>2030年度</c:v>
                </c:pt>
              </c:strCache>
            </c:strRef>
          </c:cat>
          <c:val>
            <c:numRef>
              <c:f>グラフ!$B$4:$B$8</c:f>
              <c:numCache>
                <c:formatCode>#,##0</c:formatCode>
                <c:ptCount val="5"/>
                <c:pt idx="0">
                  <c:v>3</c:v>
                </c:pt>
                <c:pt idx="1">
                  <c:v>100</c:v>
                </c:pt>
                <c:pt idx="2">
                  <c:v>1000</c:v>
                </c:pt>
                <c:pt idx="3">
                  <c:v>3000</c:v>
                </c:pt>
                <c:pt idx="4">
                  <c:v>10000</c:v>
                </c:pt>
              </c:numCache>
            </c:numRef>
          </c:val>
        </c:ser>
        <c:gapWidth val="150"/>
        <c:overlap val="0"/>
        <c:axId val="24778176"/>
        <c:axId val="3319322"/>
      </c:barChart>
      <c:catAx>
        <c:axId val="247781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319322"/>
        <c:crosses val="autoZero"/>
        <c:auto val="1"/>
        <c:lblAlgn val="ctr"/>
        <c:lblOffset val="100"/>
        <c:noMultiLvlLbl val="0"/>
      </c:catAx>
      <c:valAx>
        <c:axId val="33193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店舗数（店）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7781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年度別 年間売上高（百万円）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グラフ!C3</c:f>
              <c:strCache>
                <c:ptCount val="1"/>
                <c:pt idx="0">
                  <c:v>年間売上（百万円）</c:v>
                </c:pt>
              </c:strCache>
            </c:strRef>
          </c:tx>
          <c:spPr>
            <a:solidFill>
              <a:srgbClr val="0D9488"/>
            </a:solidFill>
            <a:ln w="12600">
              <a:solidFill>
                <a:srgbClr val="065F46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65F4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グラフ!$A$4:$A$8</c:f>
              <c:strCache>
                <c:ptCount val="5"/>
                <c:pt idx="0">
                  <c:v>2026年度</c:v>
                </c:pt>
                <c:pt idx="1">
                  <c:v>2027年度</c:v>
                </c:pt>
                <c:pt idx="2">
                  <c:v>2028年度</c:v>
                </c:pt>
                <c:pt idx="3">
                  <c:v>2029年度</c:v>
                </c:pt>
                <c:pt idx="4">
                  <c:v>2030年度</c:v>
                </c:pt>
              </c:strCache>
            </c:strRef>
          </c:cat>
          <c:val>
            <c:numRef>
              <c:f>グラフ!$C$4:$C$8</c:f>
              <c:numCache>
                <c:formatCode>#,##0.0</c:formatCode>
                <c:ptCount val="5"/>
                <c:pt idx="0">
                  <c:v>0.0288</c:v>
                </c:pt>
                <c:pt idx="1">
                  <c:v>1.9776</c:v>
                </c:pt>
                <c:pt idx="2">
                  <c:v>21.12</c:v>
                </c:pt>
                <c:pt idx="3">
                  <c:v>76.8</c:v>
                </c:pt>
                <c:pt idx="4">
                  <c:v>249.6</c:v>
                </c:pt>
              </c:numCache>
            </c:numRef>
          </c:val>
        </c:ser>
        <c:gapWidth val="150"/>
        <c:overlap val="0"/>
        <c:axId val="47101050"/>
        <c:axId val="55995244"/>
      </c:barChart>
      <c:catAx>
        <c:axId val="471010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995244"/>
        <c:crosses val="autoZero"/>
        <c:auto val="1"/>
        <c:lblAlgn val="ctr"/>
        <c:lblOffset val="100"/>
        <c:noMultiLvlLbl val="0"/>
      </c:catAx>
      <c:valAx>
        <c:axId val="559952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売上高（百万円）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1010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累計売上高推移（百万円）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グラフ!D3</c:f>
              <c:strCache>
                <c:ptCount val="1"/>
                <c:pt idx="0">
                  <c:v>累計売上（百万円）</c:v>
                </c:pt>
              </c:strCache>
            </c:strRef>
          </c:tx>
          <c:spPr>
            <a:solidFill>
              <a:srgbClr val="2563EB"/>
            </a:solidFill>
            <a:ln w="2844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グラフ!$A$4:$A$8</c:f>
              <c:strCache>
                <c:ptCount val="5"/>
                <c:pt idx="0">
                  <c:v>2026年度</c:v>
                </c:pt>
                <c:pt idx="1">
                  <c:v>2027年度</c:v>
                </c:pt>
                <c:pt idx="2">
                  <c:v>2028年度</c:v>
                </c:pt>
                <c:pt idx="3">
                  <c:v>2029年度</c:v>
                </c:pt>
                <c:pt idx="4">
                  <c:v>2030年度</c:v>
                </c:pt>
              </c:strCache>
            </c:strRef>
          </c:cat>
          <c:val>
            <c:numRef>
              <c:f>グラフ!$D$4:$D$8</c:f>
              <c:numCache>
                <c:formatCode>#,##0.0</c:formatCode>
                <c:ptCount val="5"/>
                <c:pt idx="0">
                  <c:v>0.0288</c:v>
                </c:pt>
                <c:pt idx="1">
                  <c:v>2.0064</c:v>
                </c:pt>
                <c:pt idx="2">
                  <c:v>23.1264</c:v>
                </c:pt>
                <c:pt idx="3">
                  <c:v>99.9264</c:v>
                </c:pt>
                <c:pt idx="4">
                  <c:v>349.5264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761517"/>
        <c:axId val="31380169"/>
      </c:lineChart>
      <c:catAx>
        <c:axId val="977615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年度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380169"/>
        <c:crosses val="autoZero"/>
        <c:auto val="1"/>
        <c:lblAlgn val="ctr"/>
        <c:lblOffset val="100"/>
        <c:noMultiLvlLbl val="0"/>
      </c:catAx>
      <c:valAx>
        <c:axId val="313801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累計売上高（百万円）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7615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四半期別 期末店舗数推移（店）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グラフ!G3</c:f>
              <c:strCache>
                <c:ptCount val="1"/>
                <c:pt idx="0">
                  <c:v>期末店舗数（店）</c:v>
                </c:pt>
              </c:strCache>
            </c:strRef>
          </c:tx>
          <c:spPr>
            <a:solidFill>
              <a:srgbClr val="0369A1"/>
            </a:solidFill>
            <a:ln w="12600">
              <a:solidFill>
                <a:srgbClr val="1E3A8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1E3A8A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グラフ!$F$4:$F$21</c:f>
              <c:strCache>
                <c:ptCount val="18"/>
                <c:pt idx="0">
                  <c:v>26Q3</c:v>
                </c:pt>
                <c:pt idx="1">
                  <c:v>26Q4</c:v>
                </c:pt>
                <c:pt idx="2">
                  <c:v>27Q1</c:v>
                </c:pt>
                <c:pt idx="3">
                  <c:v>27Q2</c:v>
                </c:pt>
                <c:pt idx="4">
                  <c:v>27Q3</c:v>
                </c:pt>
                <c:pt idx="5">
                  <c:v>27Q4</c:v>
                </c:pt>
                <c:pt idx="6">
                  <c:v>28Q1</c:v>
                </c:pt>
                <c:pt idx="7">
                  <c:v>28Q2</c:v>
                </c:pt>
                <c:pt idx="8">
                  <c:v>28Q3</c:v>
                </c:pt>
                <c:pt idx="9">
                  <c:v>28Q4</c:v>
                </c:pt>
                <c:pt idx="10">
                  <c:v>29Q1</c:v>
                </c:pt>
                <c:pt idx="11">
                  <c:v>29Q2</c:v>
                </c:pt>
                <c:pt idx="12">
                  <c:v>29Q3</c:v>
                </c:pt>
                <c:pt idx="13">
                  <c:v>29Q4</c:v>
                </c:pt>
                <c:pt idx="14">
                  <c:v>30Q1</c:v>
                </c:pt>
                <c:pt idx="15">
                  <c:v>30Q2</c:v>
                </c:pt>
                <c:pt idx="16">
                  <c:v>30Q3</c:v>
                </c:pt>
                <c:pt idx="17">
                  <c:v>30Q4</c:v>
                </c:pt>
              </c:strCache>
            </c:strRef>
          </c:cat>
          <c:val>
            <c:numRef>
              <c:f>グラフ!$G$4:$G$21</c:f>
              <c:numCache>
                <c:formatCode>#,##0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10</c:v>
                </c:pt>
                <c:pt idx="3">
                  <c:v>30</c:v>
                </c:pt>
                <c:pt idx="4">
                  <c:v>60</c:v>
                </c:pt>
                <c:pt idx="5">
                  <c:v>100</c:v>
                </c:pt>
                <c:pt idx="6">
                  <c:v>200</c:v>
                </c:pt>
                <c:pt idx="7">
                  <c:v>400</c:v>
                </c:pt>
                <c:pt idx="8">
                  <c:v>700</c:v>
                </c:pt>
                <c:pt idx="9">
                  <c:v>1000</c:v>
                </c:pt>
                <c:pt idx="10">
                  <c:v>1500</c:v>
                </c:pt>
                <c:pt idx="11">
                  <c:v>2000</c:v>
                </c:pt>
                <c:pt idx="12">
                  <c:v>2500</c:v>
                </c:pt>
                <c:pt idx="13">
                  <c:v>3000</c:v>
                </c:pt>
                <c:pt idx="14">
                  <c:v>5000</c:v>
                </c:pt>
                <c:pt idx="15">
                  <c:v>7000</c:v>
                </c:pt>
                <c:pt idx="16">
                  <c:v>8500</c:v>
                </c:pt>
                <c:pt idx="17">
                  <c:v>10000</c:v>
                </c:pt>
              </c:numCache>
            </c:numRef>
          </c:val>
        </c:ser>
        <c:gapWidth val="150"/>
        <c:overlap val="0"/>
        <c:axId val="94965825"/>
        <c:axId val="18770771"/>
      </c:barChart>
      <c:catAx>
        <c:axId val="949658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四半期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8770771"/>
        <c:crosses val="autoZero"/>
        <c:auto val="1"/>
        <c:lblAlgn val="ctr"/>
        <c:lblOffset val="100"/>
        <c:noMultiLvlLbl val="0"/>
      </c:catAx>
      <c:valAx>
        <c:axId val="187707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店舗数（店）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49658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6</xdr:col>
      <xdr:colOff>292320</xdr:colOff>
      <xdr:row>31</xdr:row>
      <xdr:rowOff>128520</xdr:rowOff>
    </xdr:to>
    <xdr:graphicFrame>
      <xdr:nvGraphicFramePr>
        <xdr:cNvPr id="1" name="Chart 1"/>
        <xdr:cNvGraphicFramePr/>
      </xdr:nvGraphicFramePr>
      <xdr:xfrm>
        <a:off x="0" y="206676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19</xdr:col>
      <xdr:colOff>4680</xdr:colOff>
      <xdr:row>31</xdr:row>
      <xdr:rowOff>128520</xdr:rowOff>
    </xdr:to>
    <xdr:graphicFrame>
      <xdr:nvGraphicFramePr>
        <xdr:cNvPr id="2" name="Chart 2"/>
        <xdr:cNvGraphicFramePr/>
      </xdr:nvGraphicFramePr>
      <xdr:xfrm>
        <a:off x="8178120" y="206676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33</xdr:row>
      <xdr:rowOff>0</xdr:rowOff>
    </xdr:from>
    <xdr:to>
      <xdr:col>6</xdr:col>
      <xdr:colOff>292320</xdr:colOff>
      <xdr:row>55</xdr:row>
      <xdr:rowOff>128520</xdr:rowOff>
    </xdr:to>
    <xdr:graphicFrame>
      <xdr:nvGraphicFramePr>
        <xdr:cNvPr id="3" name="Chart 3"/>
        <xdr:cNvGraphicFramePr/>
      </xdr:nvGraphicFramePr>
      <xdr:xfrm>
        <a:off x="0" y="663876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19</xdr:col>
      <xdr:colOff>4680</xdr:colOff>
      <xdr:row>55</xdr:row>
      <xdr:rowOff>128520</xdr:rowOff>
    </xdr:to>
    <xdr:graphicFrame>
      <xdr:nvGraphicFramePr>
        <xdr:cNvPr id="4" name="Chart 4"/>
        <xdr:cNvGraphicFramePr/>
      </xdr:nvGraphicFramePr>
      <xdr:xfrm>
        <a:off x="8178120" y="663876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8A"/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12.33"/>
    <col collapsed="false" customWidth="true" hidden="false" outlineLevel="0" max="2" min="2" style="0" width="17.62"/>
    <col collapsed="false" customWidth="true" hidden="false" outlineLevel="0" max="3" min="3" style="0" width="10.57"/>
    <col collapsed="false" customWidth="true" hidden="false" outlineLevel="0" max="4" min="4" style="0" width="8.81"/>
    <col collapsed="false" customWidth="true" hidden="false" outlineLevel="0" max="5" min="5" style="0" width="19.38"/>
    <col collapsed="false" customWidth="true" hidden="false" outlineLevel="0" max="6" min="6" style="0" width="26.4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4"/>
      <c r="G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  <c r="D5" s="4"/>
      <c r="E5" s="4"/>
      <c r="F5" s="4"/>
      <c r="G5" s="4"/>
    </row>
    <row r="6" customFormat="false" ht="15" hidden="false" customHeight="false" outlineLevel="0" collapsed="false">
      <c r="A6" s="3" t="s">
        <v>6</v>
      </c>
      <c r="B6" s="5" t="s">
        <v>7</v>
      </c>
      <c r="C6" s="5"/>
      <c r="D6" s="5"/>
      <c r="E6" s="5"/>
      <c r="F6" s="5"/>
      <c r="G6" s="5"/>
    </row>
    <row r="8" customFormat="false" ht="21.75" hidden="false" customHeight="true" outlineLevel="0" collapsed="false">
      <c r="A8" s="2" t="s">
        <v>8</v>
      </c>
      <c r="B8" s="2"/>
      <c r="C8" s="2"/>
      <c r="D8" s="2"/>
      <c r="E8" s="2"/>
      <c r="F8" s="2"/>
      <c r="G8" s="2"/>
    </row>
    <row r="9" customFormat="false" ht="33.55" hidden="false" customHeight="false" outlineLevel="0" collapsed="false">
      <c r="A9" s="6" t="s">
        <v>9</v>
      </c>
      <c r="B9" s="7" t="n">
        <v>3200</v>
      </c>
      <c r="C9" s="8" t="s">
        <v>10</v>
      </c>
      <c r="D9" s="8"/>
      <c r="E9" s="8"/>
      <c r="F9" s="8"/>
      <c r="G9" s="8"/>
    </row>
    <row r="10" customFormat="false" ht="33.55" hidden="false" customHeight="false" outlineLevel="0" collapsed="false">
      <c r="A10" s="6" t="s">
        <v>11</v>
      </c>
      <c r="B10" s="9" t="n">
        <f aca="false">B9*12</f>
        <v>38400</v>
      </c>
    </row>
    <row r="11" customFormat="false" ht="22.35" hidden="false" customHeight="false" outlineLevel="0" collapsed="false">
      <c r="A11" s="6" t="s">
        <v>12</v>
      </c>
      <c r="B11" s="10" t="n">
        <v>10000</v>
      </c>
    </row>
    <row r="13" customFormat="false" ht="21.75" hidden="false" customHeight="true" outlineLevel="0" collapsed="false">
      <c r="A13" s="2" t="s">
        <v>13</v>
      </c>
      <c r="B13" s="2"/>
      <c r="C13" s="2"/>
      <c r="D13" s="2"/>
      <c r="E13" s="2"/>
      <c r="F13" s="2"/>
      <c r="G13" s="2"/>
    </row>
    <row r="14" customFormat="false" ht="27.75" hidden="false" customHeight="true" outlineLevel="0" collapsed="false">
      <c r="A14" s="11" t="s">
        <v>14</v>
      </c>
      <c r="B14" s="11" t="s">
        <v>15</v>
      </c>
      <c r="C14" s="11" t="s">
        <v>16</v>
      </c>
      <c r="D14" s="11" t="s">
        <v>17</v>
      </c>
      <c r="E14" s="11" t="s">
        <v>18</v>
      </c>
      <c r="F14" s="11" t="s">
        <v>19</v>
      </c>
    </row>
    <row r="15" customFormat="false" ht="19.5" hidden="false" customHeight="true" outlineLevel="0" collapsed="false">
      <c r="A15" s="12" t="s">
        <v>20</v>
      </c>
      <c r="B15" s="13" t="n">
        <v>3</v>
      </c>
      <c r="C15" s="14" t="s">
        <v>21</v>
      </c>
      <c r="D15" s="14" t="s">
        <v>21</v>
      </c>
      <c r="E15" s="15" t="s">
        <v>22</v>
      </c>
      <c r="F15" s="16" t="s">
        <v>23</v>
      </c>
    </row>
    <row r="16" customFormat="false" ht="19.5" hidden="false" customHeight="true" outlineLevel="0" collapsed="false">
      <c r="A16" s="17" t="s">
        <v>24</v>
      </c>
      <c r="B16" s="13" t="n">
        <v>100</v>
      </c>
      <c r="C16" s="18" t="n">
        <f aca="false">B16-B15</f>
        <v>97</v>
      </c>
      <c r="D16" s="19" t="n">
        <f aca="false">(B16-B15)/B15</f>
        <v>32.3333333333333</v>
      </c>
      <c r="E16" s="20" t="s">
        <v>25</v>
      </c>
      <c r="F16" s="21" t="s">
        <v>26</v>
      </c>
    </row>
    <row r="17" customFormat="false" ht="19.5" hidden="false" customHeight="true" outlineLevel="0" collapsed="false">
      <c r="A17" s="12" t="s">
        <v>27</v>
      </c>
      <c r="B17" s="13" t="n">
        <v>1000</v>
      </c>
      <c r="C17" s="22" t="n">
        <f aca="false">B17-B16</f>
        <v>900</v>
      </c>
      <c r="D17" s="23" t="n">
        <f aca="false">(B17-B16)/B16</f>
        <v>9</v>
      </c>
      <c r="E17" s="15" t="s">
        <v>28</v>
      </c>
      <c r="F17" s="16" t="s">
        <v>29</v>
      </c>
    </row>
    <row r="18" customFormat="false" ht="19.5" hidden="false" customHeight="true" outlineLevel="0" collapsed="false">
      <c r="A18" s="17" t="s">
        <v>30</v>
      </c>
      <c r="B18" s="13" t="n">
        <v>3000</v>
      </c>
      <c r="C18" s="18" t="n">
        <f aca="false">B18-B17</f>
        <v>2000</v>
      </c>
      <c r="D18" s="19" t="n">
        <f aca="false">(B18-B17)/B17</f>
        <v>2</v>
      </c>
      <c r="E18" s="20" t="s">
        <v>31</v>
      </c>
      <c r="F18" s="21" t="s">
        <v>32</v>
      </c>
    </row>
    <row r="19" customFormat="false" ht="19.5" hidden="false" customHeight="true" outlineLevel="0" collapsed="false">
      <c r="A19" s="12" t="s">
        <v>33</v>
      </c>
      <c r="B19" s="13" t="n">
        <v>10000</v>
      </c>
      <c r="C19" s="22" t="n">
        <f aca="false">B19-B18</f>
        <v>7000</v>
      </c>
      <c r="D19" s="23" t="n">
        <f aca="false">(B19-B18)/B18</f>
        <v>2.33333333333333</v>
      </c>
      <c r="E19" s="15" t="s">
        <v>34</v>
      </c>
      <c r="F19" s="16" t="s">
        <v>35</v>
      </c>
    </row>
    <row r="21" customFormat="false" ht="21.75" hidden="false" customHeight="true" outlineLevel="0" collapsed="false">
      <c r="A21" s="24" t="s">
        <v>36</v>
      </c>
      <c r="B21" s="24"/>
      <c r="C21" s="24"/>
      <c r="D21" s="24"/>
      <c r="E21" s="24"/>
      <c r="F21" s="24"/>
      <c r="G21" s="24"/>
    </row>
    <row r="22" customFormat="false" ht="15" hidden="false" customHeight="false" outlineLevel="0" collapsed="false">
      <c r="A22" s="25" t="s">
        <v>37</v>
      </c>
      <c r="B22" s="26" t="s">
        <v>38</v>
      </c>
      <c r="C22" s="26"/>
      <c r="D22" s="26"/>
      <c r="E22" s="26"/>
      <c r="F22" s="26"/>
      <c r="G22" s="26"/>
    </row>
    <row r="23" customFormat="false" ht="15" hidden="false" customHeight="false" outlineLevel="0" collapsed="false">
      <c r="A23" s="27" t="s">
        <v>39</v>
      </c>
      <c r="B23" s="26" t="s">
        <v>40</v>
      </c>
      <c r="C23" s="26"/>
      <c r="D23" s="26"/>
      <c r="E23" s="26"/>
      <c r="F23" s="26"/>
      <c r="G23" s="26"/>
    </row>
    <row r="24" customFormat="false" ht="15" hidden="false" customHeight="false" outlineLevel="0" collapsed="false">
      <c r="A24" s="28" t="s">
        <v>41</v>
      </c>
      <c r="B24" s="26" t="s">
        <v>42</v>
      </c>
      <c r="C24" s="26"/>
      <c r="D24" s="26"/>
      <c r="E24" s="26"/>
      <c r="F24" s="26"/>
      <c r="G24" s="26"/>
    </row>
  </sheetData>
  <mergeCells count="12">
    <mergeCell ref="A1:G1"/>
    <mergeCell ref="A3:G3"/>
    <mergeCell ref="B4:G4"/>
    <mergeCell ref="B5:G5"/>
    <mergeCell ref="B6:G6"/>
    <mergeCell ref="A8:G8"/>
    <mergeCell ref="C9:G9"/>
    <mergeCell ref="A13:G13"/>
    <mergeCell ref="A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4A7E"/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24.67"/>
    <col collapsed="false" customWidth="true" hidden="false" outlineLevel="0" max="2" min="2" style="0" width="2.64"/>
    <col collapsed="false" customWidth="true" hidden="false" outlineLevel="0" max="8" min="3" style="0" width="12.33"/>
    <col collapsed="false" customWidth="true" hidden="false" outlineLevel="0" max="9" min="9" style="0" width="24.67"/>
  </cols>
  <sheetData>
    <row r="1" customFormat="false" ht="30" hidden="false" customHeight="true" outlineLevel="0" collapsed="false">
      <c r="A1" s="1" t="s">
        <v>43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8" t="s">
        <v>44</v>
      </c>
      <c r="B2" s="8"/>
      <c r="C2" s="8"/>
      <c r="D2" s="8"/>
      <c r="E2" s="8"/>
      <c r="F2" s="8"/>
      <c r="G2" s="8"/>
      <c r="H2" s="8"/>
    </row>
    <row r="3" customFormat="false" ht="30" hidden="false" customHeight="true" outlineLevel="0" collapsed="false">
      <c r="A3" s="11" t="s">
        <v>45</v>
      </c>
      <c r="B3" s="29"/>
      <c r="C3" s="30" t="s">
        <v>46</v>
      </c>
      <c r="D3" s="30" t="s">
        <v>47</v>
      </c>
      <c r="E3" s="30" t="s">
        <v>48</v>
      </c>
      <c r="F3" s="30" t="s">
        <v>49</v>
      </c>
      <c r="G3" s="30" t="s">
        <v>50</v>
      </c>
      <c r="H3" s="30" t="s">
        <v>51</v>
      </c>
      <c r="I3" s="11" t="s">
        <v>19</v>
      </c>
    </row>
    <row r="4" customFormat="false" ht="21.75" hidden="false" customHeight="true" outlineLevel="0" collapsed="false">
      <c r="A4" s="31" t="s">
        <v>52</v>
      </c>
      <c r="B4" s="31"/>
      <c r="C4" s="31"/>
      <c r="D4" s="31"/>
      <c r="E4" s="31"/>
      <c r="F4" s="31"/>
      <c r="G4" s="31"/>
      <c r="H4" s="31"/>
      <c r="I4" s="31"/>
    </row>
    <row r="5" customFormat="false" ht="19.5" hidden="false" customHeight="true" outlineLevel="0" collapsed="false">
      <c r="A5" s="32" t="s">
        <v>53</v>
      </c>
      <c r="B5" s="29"/>
      <c r="C5" s="22" t="n">
        <f aca="false">0</f>
        <v>0</v>
      </c>
      <c r="D5" s="22" t="n">
        <f aca="false">C6</f>
        <v>3</v>
      </c>
      <c r="E5" s="22" t="n">
        <f aca="false">D6</f>
        <v>100</v>
      </c>
      <c r="F5" s="22" t="n">
        <f aca="false">E6</f>
        <v>1000</v>
      </c>
      <c r="G5" s="22" t="n">
        <f aca="false">F6</f>
        <v>3000</v>
      </c>
      <c r="H5" s="14" t="s">
        <v>21</v>
      </c>
      <c r="I5" s="29"/>
    </row>
    <row r="6" customFormat="false" ht="19.5" hidden="false" customHeight="true" outlineLevel="0" collapsed="false">
      <c r="A6" s="32" t="s">
        <v>54</v>
      </c>
      <c r="B6" s="33"/>
      <c r="C6" s="34" t="n">
        <f aca="false">前提条件!B15</f>
        <v>3</v>
      </c>
      <c r="D6" s="34" t="n">
        <f aca="false">前提条件!B16</f>
        <v>100</v>
      </c>
      <c r="E6" s="34" t="n">
        <f aca="false">前提条件!B17</f>
        <v>1000</v>
      </c>
      <c r="F6" s="34" t="n">
        <f aca="false">前提条件!B18</f>
        <v>3000</v>
      </c>
      <c r="G6" s="34" t="n">
        <f aca="false">前提条件!B19</f>
        <v>10000</v>
      </c>
      <c r="H6" s="35" t="s">
        <v>21</v>
      </c>
      <c r="I6" s="33"/>
    </row>
    <row r="7" customFormat="false" ht="19.5" hidden="false" customHeight="true" outlineLevel="0" collapsed="false">
      <c r="A7" s="32" t="s">
        <v>55</v>
      </c>
      <c r="B7" s="29"/>
      <c r="C7" s="22" t="n">
        <f aca="false">C6-C5</f>
        <v>3</v>
      </c>
      <c r="D7" s="22" t="n">
        <f aca="false">D6-D5</f>
        <v>97</v>
      </c>
      <c r="E7" s="22" t="n">
        <f aca="false">E6-E5</f>
        <v>900</v>
      </c>
      <c r="F7" s="22" t="n">
        <f aca="false">F6-F5</f>
        <v>2000</v>
      </c>
      <c r="G7" s="22" t="n">
        <f aca="false">G6-G5</f>
        <v>7000</v>
      </c>
      <c r="H7" s="36" t="n">
        <f aca="false">SUM(C7:G7)</f>
        <v>10000</v>
      </c>
      <c r="I7" s="29"/>
    </row>
    <row r="8" customFormat="false" ht="19.5" hidden="false" customHeight="true" outlineLevel="0" collapsed="false">
      <c r="A8" s="32" t="s">
        <v>56</v>
      </c>
      <c r="B8" s="33"/>
      <c r="C8" s="37" t="n">
        <f aca="false">(C5+C6)/2</f>
        <v>1.5</v>
      </c>
      <c r="D8" s="37" t="n">
        <f aca="false">(D5+D6)/2</f>
        <v>51.5</v>
      </c>
      <c r="E8" s="37" t="n">
        <f aca="false">(E5+E6)/2</f>
        <v>550</v>
      </c>
      <c r="F8" s="37" t="n">
        <f aca="false">(F5+F6)/2</f>
        <v>2000</v>
      </c>
      <c r="G8" s="37" t="n">
        <f aca="false">(G5+G6)/2</f>
        <v>6500</v>
      </c>
      <c r="H8" s="35" t="s">
        <v>21</v>
      </c>
      <c r="I8" s="33"/>
    </row>
    <row r="9" customFormat="false" ht="19.5" hidden="false" customHeight="true" outlineLevel="0" collapsed="false">
      <c r="A9" s="29"/>
      <c r="B9" s="29"/>
      <c r="C9" s="29"/>
      <c r="D9" s="29"/>
      <c r="E9" s="29"/>
      <c r="F9" s="29"/>
      <c r="G9" s="29"/>
      <c r="H9" s="29"/>
      <c r="I9" s="29"/>
    </row>
    <row r="10" customFormat="false" ht="19.5" hidden="false" customHeight="true" outlineLevel="0" collapsed="false">
      <c r="A10" s="31" t="s">
        <v>57</v>
      </c>
      <c r="B10" s="31"/>
      <c r="C10" s="31"/>
      <c r="D10" s="31"/>
      <c r="E10" s="31"/>
      <c r="F10" s="31"/>
      <c r="G10" s="31"/>
      <c r="H10" s="31"/>
      <c r="I10" s="31"/>
    </row>
    <row r="11" customFormat="false" ht="19.5" hidden="false" customHeight="true" outlineLevel="0" collapsed="false">
      <c r="A11" s="32" t="s">
        <v>58</v>
      </c>
      <c r="B11" s="29"/>
      <c r="C11" s="22" t="n">
        <f aca="false">C6*前提条件!$B$9/1000</f>
        <v>9.6</v>
      </c>
      <c r="D11" s="22" t="n">
        <f aca="false">D6*前提条件!$B$9/1000</f>
        <v>320</v>
      </c>
      <c r="E11" s="22" t="n">
        <f aca="false">E6*前提条件!$B$9/1000</f>
        <v>3200</v>
      </c>
      <c r="F11" s="22" t="n">
        <f aca="false">F6*前提条件!$B$9/1000</f>
        <v>9600</v>
      </c>
      <c r="G11" s="22" t="n">
        <f aca="false">G6*前提条件!$B$9/1000</f>
        <v>32000</v>
      </c>
      <c r="H11" s="14" t="s">
        <v>21</v>
      </c>
      <c r="I11" s="38" t="s">
        <v>59</v>
      </c>
    </row>
    <row r="12" customFormat="false" ht="19.5" hidden="false" customHeight="true" outlineLevel="0" collapsed="false">
      <c r="A12" s="32" t="s">
        <v>60</v>
      </c>
      <c r="B12" s="33"/>
      <c r="C12" s="18" t="n">
        <f aca="false">C8*前提条件!$B$9*6/1000</f>
        <v>28.8</v>
      </c>
      <c r="D12" s="18" t="n">
        <f aca="false">D8*前提条件!$B$9*12/1000</f>
        <v>1977.6</v>
      </c>
      <c r="E12" s="18" t="n">
        <f aca="false">E8*前提条件!$B$9*12/1000</f>
        <v>21120</v>
      </c>
      <c r="F12" s="18" t="n">
        <f aca="false">F8*前提条件!$B$9*12/1000</f>
        <v>76800</v>
      </c>
      <c r="G12" s="18" t="n">
        <f aca="false">G8*前提条件!$B$9*12/1000</f>
        <v>249600</v>
      </c>
      <c r="H12" s="36" t="n">
        <f aca="false">SUM(C12:G12)</f>
        <v>349526.4</v>
      </c>
      <c r="I12" s="39" t="s">
        <v>61</v>
      </c>
    </row>
    <row r="13" customFormat="false" ht="19.5" hidden="false" customHeight="true" outlineLevel="0" collapsed="false">
      <c r="A13" s="32" t="s">
        <v>62</v>
      </c>
      <c r="B13" s="29"/>
      <c r="C13" s="40" t="n">
        <f aca="false">C12/1000</f>
        <v>0.0288</v>
      </c>
      <c r="D13" s="40" t="n">
        <f aca="false">D12/1000</f>
        <v>1.9776</v>
      </c>
      <c r="E13" s="40" t="n">
        <f aca="false">E12/1000</f>
        <v>21.12</v>
      </c>
      <c r="F13" s="40" t="n">
        <f aca="false">F12/1000</f>
        <v>76.8</v>
      </c>
      <c r="G13" s="40" t="n">
        <f aca="false">G12/1000</f>
        <v>249.6</v>
      </c>
      <c r="H13" s="41" t="n">
        <f aca="false">H12/1000</f>
        <v>349.5264</v>
      </c>
      <c r="I13" s="38" t="s">
        <v>63</v>
      </c>
    </row>
    <row r="14" customFormat="false" ht="19.5" hidden="false" customHeight="true" outlineLevel="0" collapsed="false">
      <c r="A14" s="32" t="s">
        <v>64</v>
      </c>
      <c r="B14" s="33"/>
      <c r="C14" s="35" t="s">
        <v>21</v>
      </c>
      <c r="D14" s="19" t="n">
        <f aca="false">(D11-C11)/C11</f>
        <v>32.3333333333333</v>
      </c>
      <c r="E14" s="19" t="n">
        <f aca="false">(E11-D11)/D11</f>
        <v>9</v>
      </c>
      <c r="F14" s="19" t="n">
        <f aca="false">(F11-E11)/E11</f>
        <v>2</v>
      </c>
      <c r="G14" s="19" t="n">
        <f aca="false">(G11-F11)/F11</f>
        <v>2.33333333333333</v>
      </c>
      <c r="H14" s="35" t="s">
        <v>21</v>
      </c>
      <c r="I14" s="42" t="s">
        <v>65</v>
      </c>
    </row>
    <row r="15" customFormat="false" ht="19.5" hidden="false" customHeight="true" outlineLevel="0" collapsed="false">
      <c r="A15" s="32" t="s">
        <v>66</v>
      </c>
      <c r="B15" s="29"/>
      <c r="C15" s="22" t="n">
        <f aca="false">C12</f>
        <v>28.8</v>
      </c>
      <c r="D15" s="22" t="n">
        <f aca="false">C15+D12</f>
        <v>2006.4</v>
      </c>
      <c r="E15" s="22" t="n">
        <f aca="false">D15+E12</f>
        <v>23126.4</v>
      </c>
      <c r="F15" s="22" t="n">
        <f aca="false">E15+F12</f>
        <v>99926.4</v>
      </c>
      <c r="G15" s="22" t="n">
        <f aca="false">F15+G12</f>
        <v>349526.4</v>
      </c>
      <c r="H15" s="36" t="n">
        <f aca="false">G15</f>
        <v>349526.4</v>
      </c>
      <c r="I15" s="38" t="s">
        <v>67</v>
      </c>
    </row>
    <row r="16" customFormat="false" ht="19.5" hidden="false" customHeight="true" outlineLevel="0" collapsed="false">
      <c r="A16" s="33"/>
      <c r="B16" s="33"/>
      <c r="C16" s="33"/>
      <c r="D16" s="33"/>
      <c r="E16" s="33"/>
      <c r="F16" s="33"/>
      <c r="G16" s="33"/>
      <c r="H16" s="33"/>
      <c r="I16" s="33"/>
    </row>
    <row r="17" customFormat="false" ht="19.5" hidden="false" customHeight="true" outlineLevel="0" collapsed="false">
      <c r="A17" s="31" t="s">
        <v>68</v>
      </c>
      <c r="B17" s="31"/>
      <c r="C17" s="31"/>
      <c r="D17" s="31"/>
      <c r="E17" s="31"/>
      <c r="F17" s="31"/>
      <c r="G17" s="31"/>
      <c r="H17" s="31"/>
      <c r="I17" s="31"/>
    </row>
    <row r="18" customFormat="false" ht="19.5" hidden="false" customHeight="true" outlineLevel="0" collapsed="false">
      <c r="A18" s="43" t="s">
        <v>69</v>
      </c>
      <c r="B18" s="33"/>
      <c r="C18" s="44" t="n">
        <f aca="false">G11</f>
        <v>32000</v>
      </c>
      <c r="D18" s="44"/>
      <c r="E18" s="44"/>
      <c r="F18" s="44"/>
      <c r="G18" s="44"/>
      <c r="H18" s="44"/>
      <c r="I18" s="33"/>
    </row>
    <row r="19" customFormat="false" ht="19.5" hidden="false" customHeight="true" outlineLevel="0" collapsed="false">
      <c r="A19" s="43" t="s">
        <v>70</v>
      </c>
      <c r="B19" s="29"/>
      <c r="C19" s="45" t="n">
        <f aca="false">G13</f>
        <v>249.6</v>
      </c>
      <c r="D19" s="45"/>
      <c r="E19" s="45"/>
      <c r="F19" s="45"/>
      <c r="G19" s="45"/>
      <c r="H19" s="45"/>
      <c r="I19" s="29"/>
    </row>
    <row r="20" customFormat="false" ht="19.5" hidden="false" customHeight="true" outlineLevel="0" collapsed="false">
      <c r="A20" s="43" t="s">
        <v>71</v>
      </c>
      <c r="B20" s="33"/>
      <c r="C20" s="44" t="n">
        <f aca="false">H15</f>
        <v>349526.4</v>
      </c>
      <c r="D20" s="44"/>
      <c r="E20" s="44"/>
      <c r="F20" s="44"/>
      <c r="G20" s="44"/>
      <c r="H20" s="44"/>
      <c r="I20" s="33"/>
    </row>
    <row r="21" customFormat="false" ht="19.5" hidden="false" customHeight="true" outlineLevel="0" collapsed="false">
      <c r="A21" s="43" t="s">
        <v>72</v>
      </c>
      <c r="B21" s="29"/>
      <c r="C21" s="45" t="n">
        <f aca="false">H15/1000</f>
        <v>349.5264</v>
      </c>
      <c r="D21" s="45"/>
      <c r="E21" s="45"/>
      <c r="F21" s="45"/>
      <c r="G21" s="45"/>
      <c r="H21" s="45"/>
      <c r="I21" s="29"/>
    </row>
    <row r="22" customFormat="false" ht="19.5" hidden="false" customHeight="true" outlineLevel="0" collapsed="false">
      <c r="A22" s="43" t="s">
        <v>73</v>
      </c>
      <c r="B22" s="33"/>
      <c r="C22" s="46" t="n">
        <f aca="false">前提条件!B9</f>
        <v>3200</v>
      </c>
      <c r="D22" s="46"/>
      <c r="E22" s="46"/>
      <c r="F22" s="46"/>
      <c r="G22" s="46"/>
      <c r="H22" s="46"/>
      <c r="I22" s="33"/>
    </row>
    <row r="23" customFormat="false" ht="19.5" hidden="false" customHeight="true" outlineLevel="0" collapsed="false">
      <c r="A23" s="43" t="s">
        <v>74</v>
      </c>
      <c r="B23" s="29"/>
      <c r="C23" s="44" t="n">
        <f aca="false">G11</f>
        <v>32000</v>
      </c>
      <c r="D23" s="44"/>
      <c r="E23" s="44"/>
      <c r="F23" s="44"/>
      <c r="G23" s="44"/>
      <c r="H23" s="44"/>
      <c r="I23" s="29"/>
    </row>
  </sheetData>
  <mergeCells count="11">
    <mergeCell ref="A1:H1"/>
    <mergeCell ref="A2:H2"/>
    <mergeCell ref="A4:I4"/>
    <mergeCell ref="A10:I10"/>
    <mergeCell ref="A17:I17"/>
    <mergeCell ref="C18:H18"/>
    <mergeCell ref="C19:H19"/>
    <mergeCell ref="C20:H20"/>
    <mergeCell ref="C21:H21"/>
    <mergeCell ref="C22:H22"/>
    <mergeCell ref="C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369A1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15.86"/>
    <col collapsed="false" customWidth="true" hidden="false" outlineLevel="0" max="2" min="2" style="0" width="12.33"/>
    <col collapsed="false" customWidth="true" hidden="false" outlineLevel="0" max="3" min="3" style="0" width="14.1"/>
    <col collapsed="false" customWidth="true" hidden="false" outlineLevel="0" max="6" min="4" style="0" width="15.86"/>
  </cols>
  <sheetData>
    <row r="1" customFormat="false" ht="30" hidden="false" customHeight="true" outlineLevel="0" collapsed="false">
      <c r="A1" s="1" t="s">
        <v>75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47" t="s">
        <v>76</v>
      </c>
      <c r="B2" s="47"/>
      <c r="C2" s="47"/>
      <c r="D2" s="47"/>
      <c r="E2" s="47"/>
      <c r="F2" s="47"/>
    </row>
    <row r="3" customFormat="false" ht="36" hidden="false" customHeight="true" outlineLevel="0" collapsed="false">
      <c r="A3" s="11" t="s">
        <v>77</v>
      </c>
      <c r="B3" s="11" t="s">
        <v>78</v>
      </c>
      <c r="C3" s="11" t="s">
        <v>79</v>
      </c>
      <c r="D3" s="11" t="s">
        <v>80</v>
      </c>
      <c r="E3" s="11" t="s">
        <v>81</v>
      </c>
      <c r="F3" s="30" t="s">
        <v>82</v>
      </c>
    </row>
    <row r="4" customFormat="false" ht="19.5" hidden="false" customHeight="true" outlineLevel="0" collapsed="false">
      <c r="A4" s="48" t="s">
        <v>83</v>
      </c>
      <c r="B4" s="13" t="n">
        <v>3</v>
      </c>
      <c r="C4" s="37" t="n">
        <f aca="false">(B4+0)/2</f>
        <v>1.5</v>
      </c>
      <c r="D4" s="18" t="n">
        <f aca="false">C4*前提条件!$B$9*3/1000</f>
        <v>14.4</v>
      </c>
      <c r="E4" s="18" t="n">
        <f aca="false">D4</f>
        <v>14.4</v>
      </c>
      <c r="F4" s="18" t="n">
        <f aca="false">D4</f>
        <v>14.4</v>
      </c>
    </row>
    <row r="5" customFormat="false" ht="19.5" hidden="false" customHeight="true" outlineLevel="0" collapsed="false">
      <c r="A5" s="49" t="s">
        <v>84</v>
      </c>
      <c r="B5" s="13" t="n">
        <v>3</v>
      </c>
      <c r="C5" s="40" t="n">
        <f aca="false">(B5+B4)/2</f>
        <v>3</v>
      </c>
      <c r="D5" s="22" t="n">
        <f aca="false">C5*前提条件!$B$9*3/1000</f>
        <v>28.8</v>
      </c>
      <c r="E5" s="22" t="n">
        <f aca="false">E4+D5</f>
        <v>43.2</v>
      </c>
      <c r="F5" s="22" t="n">
        <f aca="false">F4+D5</f>
        <v>43.2</v>
      </c>
    </row>
    <row r="6" customFormat="false" ht="19.5" hidden="false" customHeight="true" outlineLevel="0" collapsed="false">
      <c r="A6" s="48" t="s">
        <v>85</v>
      </c>
      <c r="B6" s="13" t="n">
        <v>10</v>
      </c>
      <c r="C6" s="37" t="n">
        <f aca="false">(B6+B5)/2</f>
        <v>6.5</v>
      </c>
      <c r="D6" s="18" t="n">
        <f aca="false">C6*前提条件!$B$9*3/1000</f>
        <v>62.4</v>
      </c>
      <c r="E6" s="18" t="n">
        <f aca="false">D6</f>
        <v>62.4</v>
      </c>
      <c r="F6" s="18" t="n">
        <f aca="false">F5+D6</f>
        <v>105.6</v>
      </c>
    </row>
    <row r="7" customFormat="false" ht="19.5" hidden="false" customHeight="true" outlineLevel="0" collapsed="false">
      <c r="A7" s="50" t="s">
        <v>86</v>
      </c>
      <c r="B7" s="51" t="n">
        <v>30</v>
      </c>
      <c r="C7" s="52" t="n">
        <f aca="false">(B7+B6)/2</f>
        <v>20</v>
      </c>
      <c r="D7" s="53" t="n">
        <f aca="false">C7*前提条件!$B$9*3/1000</f>
        <v>192</v>
      </c>
      <c r="E7" s="53" t="n">
        <f aca="false">E6+D7</f>
        <v>254.4</v>
      </c>
      <c r="F7" s="53" t="n">
        <f aca="false">F6+D7</f>
        <v>297.6</v>
      </c>
    </row>
    <row r="8" customFormat="false" ht="19.5" hidden="false" customHeight="true" outlineLevel="0" collapsed="false">
      <c r="A8" s="48" t="s">
        <v>87</v>
      </c>
      <c r="B8" s="13" t="n">
        <v>60</v>
      </c>
      <c r="C8" s="37" t="n">
        <f aca="false">(B8+B7)/2</f>
        <v>45</v>
      </c>
      <c r="D8" s="18" t="n">
        <f aca="false">C8*前提条件!$B$9*3/1000</f>
        <v>432</v>
      </c>
      <c r="E8" s="18" t="n">
        <f aca="false">E7+D8</f>
        <v>686.4</v>
      </c>
      <c r="F8" s="18" t="n">
        <f aca="false">F7+D8</f>
        <v>729.6</v>
      </c>
    </row>
    <row r="9" customFormat="false" ht="19.5" hidden="false" customHeight="true" outlineLevel="0" collapsed="false">
      <c r="A9" s="49" t="s">
        <v>88</v>
      </c>
      <c r="B9" s="13" t="n">
        <v>100</v>
      </c>
      <c r="C9" s="40" t="n">
        <f aca="false">(B9+B8)/2</f>
        <v>80</v>
      </c>
      <c r="D9" s="22" t="n">
        <f aca="false">C9*前提条件!$B$9*3/1000</f>
        <v>768</v>
      </c>
      <c r="E9" s="22" t="n">
        <f aca="false">E8+D9</f>
        <v>1454.4</v>
      </c>
      <c r="F9" s="22" t="n">
        <f aca="false">F8+D9</f>
        <v>1497.6</v>
      </c>
    </row>
    <row r="10" customFormat="false" ht="19.5" hidden="false" customHeight="true" outlineLevel="0" collapsed="false">
      <c r="A10" s="48" t="s">
        <v>89</v>
      </c>
      <c r="B10" s="13" t="n">
        <v>200</v>
      </c>
      <c r="C10" s="37" t="n">
        <f aca="false">(B10+B9)/2</f>
        <v>150</v>
      </c>
      <c r="D10" s="18" t="n">
        <f aca="false">C10*前提条件!$B$9*3/1000</f>
        <v>1440</v>
      </c>
      <c r="E10" s="18" t="n">
        <f aca="false">D10</f>
        <v>1440</v>
      </c>
      <c r="F10" s="18" t="n">
        <f aca="false">F9+D10</f>
        <v>2937.6</v>
      </c>
    </row>
    <row r="11" customFormat="false" ht="19.5" hidden="false" customHeight="true" outlineLevel="0" collapsed="false">
      <c r="A11" s="50" t="s">
        <v>90</v>
      </c>
      <c r="B11" s="51" t="n">
        <v>400</v>
      </c>
      <c r="C11" s="52" t="n">
        <f aca="false">(B11+B10)/2</f>
        <v>300</v>
      </c>
      <c r="D11" s="53" t="n">
        <f aca="false">C11*前提条件!$B$9*3/1000</f>
        <v>2880</v>
      </c>
      <c r="E11" s="53" t="n">
        <f aca="false">E10+D11</f>
        <v>4320</v>
      </c>
      <c r="F11" s="53" t="n">
        <f aca="false">F10+D11</f>
        <v>5817.6</v>
      </c>
    </row>
    <row r="12" customFormat="false" ht="19.5" hidden="false" customHeight="true" outlineLevel="0" collapsed="false">
      <c r="A12" s="48" t="s">
        <v>91</v>
      </c>
      <c r="B12" s="13" t="n">
        <v>700</v>
      </c>
      <c r="C12" s="37" t="n">
        <f aca="false">(B12+B11)/2</f>
        <v>550</v>
      </c>
      <c r="D12" s="18" t="n">
        <f aca="false">C12*前提条件!$B$9*3/1000</f>
        <v>5280</v>
      </c>
      <c r="E12" s="18" t="n">
        <f aca="false">E11+D12</f>
        <v>9600</v>
      </c>
      <c r="F12" s="18" t="n">
        <f aca="false">F11+D12</f>
        <v>11097.6</v>
      </c>
    </row>
    <row r="13" customFormat="false" ht="19.5" hidden="false" customHeight="true" outlineLevel="0" collapsed="false">
      <c r="A13" s="49" t="s">
        <v>92</v>
      </c>
      <c r="B13" s="13" t="n">
        <v>1000</v>
      </c>
      <c r="C13" s="40" t="n">
        <f aca="false">(B13+B12)/2</f>
        <v>850</v>
      </c>
      <c r="D13" s="22" t="n">
        <f aca="false">C13*前提条件!$B$9*3/1000</f>
        <v>8160</v>
      </c>
      <c r="E13" s="22" t="n">
        <f aca="false">E12+D13</f>
        <v>17760</v>
      </c>
      <c r="F13" s="22" t="n">
        <f aca="false">F12+D13</f>
        <v>19257.6</v>
      </c>
    </row>
    <row r="14" customFormat="false" ht="19.5" hidden="false" customHeight="true" outlineLevel="0" collapsed="false">
      <c r="A14" s="48" t="s">
        <v>93</v>
      </c>
      <c r="B14" s="13" t="n">
        <v>1500</v>
      </c>
      <c r="C14" s="37" t="n">
        <f aca="false">(B14+B13)/2</f>
        <v>1250</v>
      </c>
      <c r="D14" s="18" t="n">
        <f aca="false">C14*前提条件!$B$9*3/1000</f>
        <v>12000</v>
      </c>
      <c r="E14" s="18" t="n">
        <f aca="false">D14</f>
        <v>12000</v>
      </c>
      <c r="F14" s="18" t="n">
        <f aca="false">F13+D14</f>
        <v>31257.6</v>
      </c>
    </row>
    <row r="15" customFormat="false" ht="19.5" hidden="false" customHeight="true" outlineLevel="0" collapsed="false">
      <c r="A15" s="50" t="s">
        <v>94</v>
      </c>
      <c r="B15" s="51" t="n">
        <v>2000</v>
      </c>
      <c r="C15" s="52" t="n">
        <f aca="false">(B15+B14)/2</f>
        <v>1750</v>
      </c>
      <c r="D15" s="53" t="n">
        <f aca="false">C15*前提条件!$B$9*3/1000</f>
        <v>16800</v>
      </c>
      <c r="E15" s="53" t="n">
        <f aca="false">E14+D15</f>
        <v>28800</v>
      </c>
      <c r="F15" s="53" t="n">
        <f aca="false">F14+D15</f>
        <v>48057.6</v>
      </c>
    </row>
    <row r="16" customFormat="false" ht="19.5" hidden="false" customHeight="true" outlineLevel="0" collapsed="false">
      <c r="A16" s="48" t="s">
        <v>95</v>
      </c>
      <c r="B16" s="13" t="n">
        <v>2500</v>
      </c>
      <c r="C16" s="37" t="n">
        <f aca="false">(B16+B15)/2</f>
        <v>2250</v>
      </c>
      <c r="D16" s="18" t="n">
        <f aca="false">C16*前提条件!$B$9*3/1000</f>
        <v>21600</v>
      </c>
      <c r="E16" s="18" t="n">
        <f aca="false">E15+D16</f>
        <v>50400</v>
      </c>
      <c r="F16" s="18" t="n">
        <f aca="false">F15+D16</f>
        <v>69657.6</v>
      </c>
    </row>
    <row r="17" customFormat="false" ht="19.5" hidden="false" customHeight="true" outlineLevel="0" collapsed="false">
      <c r="A17" s="49" t="s">
        <v>96</v>
      </c>
      <c r="B17" s="13" t="n">
        <v>3000</v>
      </c>
      <c r="C17" s="40" t="n">
        <f aca="false">(B17+B16)/2</f>
        <v>2750</v>
      </c>
      <c r="D17" s="22" t="n">
        <f aca="false">C17*前提条件!$B$9*3/1000</f>
        <v>26400</v>
      </c>
      <c r="E17" s="22" t="n">
        <f aca="false">E16+D17</f>
        <v>76800</v>
      </c>
      <c r="F17" s="22" t="n">
        <f aca="false">F16+D17</f>
        <v>96057.6</v>
      </c>
    </row>
    <row r="18" customFormat="false" ht="19.5" hidden="false" customHeight="true" outlineLevel="0" collapsed="false">
      <c r="A18" s="48" t="s">
        <v>97</v>
      </c>
      <c r="B18" s="13" t="n">
        <v>5000</v>
      </c>
      <c r="C18" s="37" t="n">
        <f aca="false">(B18+B17)/2</f>
        <v>4000</v>
      </c>
      <c r="D18" s="18" t="n">
        <f aca="false">C18*前提条件!$B$9*3/1000</f>
        <v>38400</v>
      </c>
      <c r="E18" s="18" t="n">
        <f aca="false">D18</f>
        <v>38400</v>
      </c>
      <c r="F18" s="18" t="n">
        <f aca="false">F17+D18</f>
        <v>134457.6</v>
      </c>
    </row>
    <row r="19" customFormat="false" ht="19.5" hidden="false" customHeight="true" outlineLevel="0" collapsed="false">
      <c r="A19" s="50" t="s">
        <v>98</v>
      </c>
      <c r="B19" s="51" t="n">
        <v>7000</v>
      </c>
      <c r="C19" s="52" t="n">
        <f aca="false">(B19+B18)/2</f>
        <v>6000</v>
      </c>
      <c r="D19" s="53" t="n">
        <f aca="false">C19*前提条件!$B$9*3/1000</f>
        <v>57600</v>
      </c>
      <c r="E19" s="53" t="n">
        <f aca="false">E18+D19</f>
        <v>96000</v>
      </c>
      <c r="F19" s="53" t="n">
        <f aca="false">F18+D19</f>
        <v>192057.6</v>
      </c>
    </row>
    <row r="20" customFormat="false" ht="19.5" hidden="false" customHeight="true" outlineLevel="0" collapsed="false">
      <c r="A20" s="48" t="s">
        <v>99</v>
      </c>
      <c r="B20" s="13" t="n">
        <v>8500</v>
      </c>
      <c r="C20" s="37" t="n">
        <f aca="false">(B20+B19)/2</f>
        <v>7750</v>
      </c>
      <c r="D20" s="18" t="n">
        <f aca="false">C20*前提条件!$B$9*3/1000</f>
        <v>74400</v>
      </c>
      <c r="E20" s="18" t="n">
        <f aca="false">E19+D20</f>
        <v>170400</v>
      </c>
      <c r="F20" s="18" t="n">
        <f aca="false">F19+D20</f>
        <v>266457.6</v>
      </c>
    </row>
    <row r="21" customFormat="false" ht="19.5" hidden="false" customHeight="true" outlineLevel="0" collapsed="false">
      <c r="A21" s="50" t="s">
        <v>100</v>
      </c>
      <c r="B21" s="51" t="n">
        <v>10000</v>
      </c>
      <c r="C21" s="52" t="n">
        <f aca="false">(B21+B20)/2</f>
        <v>9250</v>
      </c>
      <c r="D21" s="53" t="n">
        <f aca="false">C21*前提条件!$B$9*3/1000</f>
        <v>88800</v>
      </c>
      <c r="E21" s="53" t="n">
        <f aca="false">E20+D21</f>
        <v>259200</v>
      </c>
      <c r="F21" s="53" t="n">
        <f aca="false">F20+D21</f>
        <v>355257.6</v>
      </c>
    </row>
    <row r="22" customFormat="false" ht="15" hidden="false" customHeight="false" outlineLevel="0" collapsed="false">
      <c r="A22" s="54" t="s">
        <v>101</v>
      </c>
      <c r="B22" s="54"/>
      <c r="C22" s="54"/>
      <c r="D22" s="55" t="n">
        <f aca="false">SUM(D4:D21)</f>
        <v>355257.6</v>
      </c>
      <c r="E22" s="56"/>
      <c r="F22" s="55" t="n">
        <f aca="false">F21</f>
        <v>355257.6</v>
      </c>
    </row>
  </sheetData>
  <mergeCells count="3">
    <mergeCell ref="A1:F1"/>
    <mergeCell ref="A2:F2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R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453125" defaultRowHeight="15" customHeight="false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4.1"/>
    <col collapsed="false" customWidth="true" hidden="false" outlineLevel="0" max="4" min="3" style="0" width="15.86"/>
    <col collapsed="false" customWidth="true" hidden="false" outlineLevel="0" max="6" min="6" style="0" width="8.81"/>
    <col collapsed="false" customWidth="true" hidden="false" outlineLevel="0" max="7" min="7" style="0" width="14.1"/>
  </cols>
  <sheetData>
    <row r="1" customFormat="false" ht="30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customFormat="false" ht="27.75" hidden="false" customHeight="true" outlineLevel="0" collapsed="false">
      <c r="A3" s="11" t="s">
        <v>14</v>
      </c>
      <c r="B3" s="11" t="s">
        <v>15</v>
      </c>
      <c r="C3" s="11" t="s">
        <v>103</v>
      </c>
      <c r="D3" s="11" t="s">
        <v>104</v>
      </c>
      <c r="F3" s="57" t="s">
        <v>105</v>
      </c>
      <c r="G3" s="57" t="s">
        <v>15</v>
      </c>
    </row>
    <row r="4" customFormat="false" ht="15" hidden="false" customHeight="false" outlineLevel="0" collapsed="false">
      <c r="A4" s="58" t="s">
        <v>106</v>
      </c>
      <c r="B4" s="59" t="n">
        <f aca="false">前提条件!B15</f>
        <v>3</v>
      </c>
      <c r="C4" s="60" t="n">
        <f aca="false">'５か年販売計画'!C13</f>
        <v>0.0288</v>
      </c>
      <c r="D4" s="60" t="n">
        <f aca="false">'５か年販売計画'!C15/1000</f>
        <v>0.0288</v>
      </c>
      <c r="F4" s="61" t="s">
        <v>107</v>
      </c>
      <c r="G4" s="62" t="n">
        <f aca="false">四半期詳細!B4</f>
        <v>3</v>
      </c>
    </row>
    <row r="5" customFormat="false" ht="15" hidden="false" customHeight="false" outlineLevel="0" collapsed="false">
      <c r="A5" s="58" t="s">
        <v>108</v>
      </c>
      <c r="B5" s="59" t="n">
        <f aca="false">前提条件!B16</f>
        <v>100</v>
      </c>
      <c r="C5" s="60" t="n">
        <f aca="false">'５か年販売計画'!D13</f>
        <v>1.9776</v>
      </c>
      <c r="D5" s="60" t="n">
        <f aca="false">'５か年販売計画'!D15/1000</f>
        <v>2.0064</v>
      </c>
      <c r="F5" s="61" t="s">
        <v>109</v>
      </c>
      <c r="G5" s="62" t="n">
        <f aca="false">四半期詳細!B5</f>
        <v>3</v>
      </c>
    </row>
    <row r="6" customFormat="false" ht="15" hidden="false" customHeight="false" outlineLevel="0" collapsed="false">
      <c r="A6" s="58" t="s">
        <v>110</v>
      </c>
      <c r="B6" s="59" t="n">
        <f aca="false">前提条件!B17</f>
        <v>1000</v>
      </c>
      <c r="C6" s="60" t="n">
        <f aca="false">'５か年販売計画'!E13</f>
        <v>21.12</v>
      </c>
      <c r="D6" s="60" t="n">
        <f aca="false">'５か年販売計画'!E15/1000</f>
        <v>23.1264</v>
      </c>
      <c r="F6" s="61" t="s">
        <v>111</v>
      </c>
      <c r="G6" s="62" t="n">
        <f aca="false">四半期詳細!B6</f>
        <v>10</v>
      </c>
    </row>
    <row r="7" customFormat="false" ht="15" hidden="false" customHeight="false" outlineLevel="0" collapsed="false">
      <c r="A7" s="58" t="s">
        <v>112</v>
      </c>
      <c r="B7" s="59" t="n">
        <f aca="false">前提条件!B18</f>
        <v>3000</v>
      </c>
      <c r="C7" s="60" t="n">
        <f aca="false">'５か年販売計画'!F13</f>
        <v>76.8</v>
      </c>
      <c r="D7" s="60" t="n">
        <f aca="false">'５か年販売計画'!F15/1000</f>
        <v>99.9264</v>
      </c>
      <c r="F7" s="61" t="s">
        <v>113</v>
      </c>
      <c r="G7" s="62" t="n">
        <f aca="false">四半期詳細!B7</f>
        <v>30</v>
      </c>
    </row>
    <row r="8" customFormat="false" ht="15" hidden="false" customHeight="false" outlineLevel="0" collapsed="false">
      <c r="A8" s="58" t="s">
        <v>114</v>
      </c>
      <c r="B8" s="59" t="n">
        <f aca="false">前提条件!B19</f>
        <v>10000</v>
      </c>
      <c r="C8" s="60" t="n">
        <f aca="false">'５か年販売計画'!G13</f>
        <v>249.6</v>
      </c>
      <c r="D8" s="60" t="n">
        <f aca="false">'５か年販売計画'!G15/1000</f>
        <v>349.5264</v>
      </c>
      <c r="F8" s="61" t="s">
        <v>115</v>
      </c>
      <c r="G8" s="62" t="n">
        <f aca="false">四半期詳細!B8</f>
        <v>60</v>
      </c>
    </row>
    <row r="9" customFormat="false" ht="15" hidden="false" customHeight="false" outlineLevel="0" collapsed="false">
      <c r="F9" s="61" t="s">
        <v>116</v>
      </c>
      <c r="G9" s="62" t="n">
        <f aca="false">四半期詳細!B9</f>
        <v>100</v>
      </c>
    </row>
    <row r="10" customFormat="false" ht="15" hidden="false" customHeight="false" outlineLevel="0" collapsed="false">
      <c r="F10" s="61" t="s">
        <v>117</v>
      </c>
      <c r="G10" s="62" t="n">
        <f aca="false">四半期詳細!B10</f>
        <v>200</v>
      </c>
    </row>
    <row r="11" customFormat="false" ht="15" hidden="false" customHeight="false" outlineLevel="0" collapsed="false">
      <c r="F11" s="61" t="s">
        <v>118</v>
      </c>
      <c r="G11" s="62" t="n">
        <f aca="false">四半期詳細!B11</f>
        <v>400</v>
      </c>
    </row>
    <row r="12" customFormat="false" ht="15" hidden="false" customHeight="false" outlineLevel="0" collapsed="false">
      <c r="F12" s="61" t="s">
        <v>119</v>
      </c>
      <c r="G12" s="62" t="n">
        <f aca="false">四半期詳細!B12</f>
        <v>700</v>
      </c>
    </row>
    <row r="13" customFormat="false" ht="15" hidden="false" customHeight="false" outlineLevel="0" collapsed="false">
      <c r="F13" s="61" t="s">
        <v>120</v>
      </c>
      <c r="G13" s="62" t="n">
        <f aca="false">四半期詳細!B13</f>
        <v>1000</v>
      </c>
    </row>
    <row r="14" customFormat="false" ht="15" hidden="false" customHeight="false" outlineLevel="0" collapsed="false">
      <c r="F14" s="61" t="s">
        <v>121</v>
      </c>
      <c r="G14" s="62" t="n">
        <f aca="false">四半期詳細!B14</f>
        <v>1500</v>
      </c>
    </row>
    <row r="15" customFormat="false" ht="15" hidden="false" customHeight="false" outlineLevel="0" collapsed="false">
      <c r="F15" s="61" t="s">
        <v>122</v>
      </c>
      <c r="G15" s="62" t="n">
        <f aca="false">四半期詳細!B15</f>
        <v>2000</v>
      </c>
    </row>
    <row r="16" customFormat="false" ht="15" hidden="false" customHeight="false" outlineLevel="0" collapsed="false">
      <c r="F16" s="61" t="s">
        <v>123</v>
      </c>
      <c r="G16" s="62" t="n">
        <f aca="false">四半期詳細!B16</f>
        <v>2500</v>
      </c>
    </row>
    <row r="17" customFormat="false" ht="15" hidden="false" customHeight="false" outlineLevel="0" collapsed="false">
      <c r="F17" s="61" t="s">
        <v>124</v>
      </c>
      <c r="G17" s="62" t="n">
        <f aca="false">四半期詳細!B17</f>
        <v>3000</v>
      </c>
    </row>
    <row r="18" customFormat="false" ht="15" hidden="false" customHeight="false" outlineLevel="0" collapsed="false">
      <c r="F18" s="61" t="s">
        <v>125</v>
      </c>
      <c r="G18" s="62" t="n">
        <f aca="false">四半期詳細!B18</f>
        <v>5000</v>
      </c>
    </row>
    <row r="19" customFormat="false" ht="15" hidden="false" customHeight="false" outlineLevel="0" collapsed="false">
      <c r="F19" s="61" t="s">
        <v>126</v>
      </c>
      <c r="G19" s="62" t="n">
        <f aca="false">四半期詳細!B19</f>
        <v>7000</v>
      </c>
    </row>
    <row r="20" customFormat="false" ht="15" hidden="false" customHeight="false" outlineLevel="0" collapsed="false">
      <c r="F20" s="61" t="s">
        <v>127</v>
      </c>
      <c r="G20" s="62" t="n">
        <f aca="false">四半期詳細!B20</f>
        <v>8500</v>
      </c>
    </row>
    <row r="21" customFormat="false" ht="15" hidden="false" customHeight="false" outlineLevel="0" collapsed="false">
      <c r="F21" s="61" t="s">
        <v>128</v>
      </c>
      <c r="G21" s="62" t="n">
        <f aca="false">四半期詳細!B21</f>
        <v>10000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2026-05-26T22:56:17Z</dcterms:created>
  <dc:creator>openpyxl</dc:creator>
  <dc:description/>
  <dc:language>ja-JP</dc:language>
  <cp:lastModifiedBy/>
  <dcterms:modified xsi:type="dcterms:W3CDTF">2026-05-27T07:56:24Z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